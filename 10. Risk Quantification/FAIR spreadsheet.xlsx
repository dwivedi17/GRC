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adamhamdan/Desktop/YouTube Business/Training Course/Course Content/Module - CRQ FAIR/"/>
    </mc:Choice>
  </mc:AlternateContent>
  <xr:revisionPtr revIDLastSave="0" documentId="13_ncr:1_{6320E6D8-5944-274B-AFB7-72ABD1CD1DD3}" xr6:coauthVersionLast="47" xr6:coauthVersionMax="47" xr10:uidLastSave="{00000000-0000-0000-0000-000000000000}"/>
  <bookViews>
    <workbookView xWindow="0" yWindow="760" windowWidth="34560" windowHeight="20480" activeTab="1" xr2:uid="{00000000-000D-0000-FFFF-FFFF00000000}"/>
  </bookViews>
  <sheets>
    <sheet name="Disclaimer" sheetId="2" r:id="rId1"/>
    <sheet name="FAIR 01"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kKEeKpliSjaC59nxksEf7Gsiy8p10Ceh+sJwQaczA38="/>
    </ext>
  </extLst>
</workbook>
</file>

<file path=xl/calcChain.xml><?xml version="1.0" encoding="utf-8"?>
<calcChain xmlns="http://schemas.openxmlformats.org/spreadsheetml/2006/main">
  <c r="D36" i="1" l="1"/>
  <c r="D33" i="1"/>
  <c r="D32" i="1"/>
  <c r="E19" i="1"/>
  <c r="E18" i="1"/>
  <c r="E15" i="1"/>
  <c r="D35" i="1"/>
  <c r="D29" i="1"/>
  <c r="D30" i="1" s="1"/>
</calcChain>
</file>

<file path=xl/sharedStrings.xml><?xml version="1.0" encoding="utf-8"?>
<sst xmlns="http://schemas.openxmlformats.org/spreadsheetml/2006/main" count="72" uniqueCount="65">
  <si>
    <t>Fictional Case Study: GRC Mastery Uses the FAIR Model for Cyber Risk Quantification</t>
  </si>
  <si>
    <t>Background</t>
  </si>
  <si>
    <r>
      <rPr>
        <sz val="11"/>
        <color theme="1"/>
        <rFont val="Aptos Narrow"/>
      </rPr>
      <t xml:space="preserve">After several </t>
    </r>
    <r>
      <rPr>
        <b/>
        <sz val="11"/>
        <color theme="1"/>
        <rFont val="Aptos Narrow"/>
      </rPr>
      <t>phishing attempts</t>
    </r>
    <r>
      <rPr>
        <sz val="11"/>
        <color theme="1"/>
        <rFont val="Aptos Narrow"/>
      </rPr>
      <t xml:space="preserve"> targeting staff members, the leadership team wanted to determine whether investing in a new </t>
    </r>
    <r>
      <rPr>
        <b/>
        <sz val="11"/>
        <color theme="1"/>
        <rFont val="Aptos Narrow"/>
      </rPr>
      <t>Security Awareness and Simulation Program ($80,000 per year)</t>
    </r>
    <r>
      <rPr>
        <sz val="11"/>
        <color theme="1"/>
        <rFont val="Aptos Narrow"/>
      </rPr>
      <t xml:space="preserve"> was financially justified.</t>
    </r>
  </si>
  <si>
    <t>Steps</t>
  </si>
  <si>
    <t>FAIR Step</t>
  </si>
  <si>
    <t>Description</t>
  </si>
  <si>
    <t>Formulas</t>
  </si>
  <si>
    <t>Value</t>
  </si>
  <si>
    <t>Define the Risk Scenario</t>
  </si>
  <si>
    <t>–</t>
  </si>
  <si>
    <t>Identify Assets &amp; Threats</t>
  </si>
  <si>
    <t>Asset: The valuable resource being protected (e.g., client files, systems, or credentials).
Threat: The event or actor that could cause harm (e.g., a cyber‑criminal sending phishing emails).</t>
  </si>
  <si>
    <t>Threat Event Frequency (TEF)</t>
  </si>
  <si>
    <t>TEF represents how often a threat event occurs within a given timeframe.
Example:
25 phishing attempts per year.</t>
  </si>
  <si>
    <t>TEF = 25</t>
  </si>
  <si>
    <t>Loss Event Frequency (LEF)</t>
  </si>
  <si>
    <t>Primary Loss (Direct Costs)</t>
  </si>
  <si>
    <t>FAIR distinguishes between Primary Loss (direct costs) and Secondary Loss (indirect or downstream costs).
Primary Loss:        
Direct response and recovery costs
$40,000 per incident</t>
  </si>
  <si>
    <t>$40,000 per event</t>
  </si>
  <si>
    <t>Secondary Loss (Indirect Costs)</t>
  </si>
  <si>
    <t>Secondary Loss:
Legal fees, reputational loss, client compensation, etc.
$60,000 per incident</t>
  </si>
  <si>
    <t>$60,000 per event</t>
  </si>
  <si>
    <t>Calculate Total Loss per Event</t>
  </si>
  <si>
    <t>Total Loss per Event = Primary Loss + Secondary Loss</t>
  </si>
  <si>
    <t>$40,000 per event + $60,000 per event</t>
  </si>
  <si>
    <t>ALE is the total expected annual financial loss from that risk scenario.
Formula:
ALE = Total Loss × LEF</t>
  </si>
  <si>
    <t>(40,000 + 60,000) × 5 = $500,000
 per year</t>
  </si>
  <si>
    <t>Cell</t>
  </si>
  <si>
    <t>Formula</t>
  </si>
  <si>
    <t>Primary Loss ($)</t>
  </si>
  <si>
    <t>Secondary Loss ($)</t>
  </si>
  <si>
    <t>TEF * Vul, A34*A35</t>
  </si>
  <si>
    <t>(PL + SL)* LEF , (A36+A37)*A38 → $500,000</t>
  </si>
  <si>
    <t>Reduction in success rate (control)</t>
  </si>
  <si>
    <t>Program reduces phishing success by 60%</t>
  </si>
  <si>
    <t>New LEF after control</t>
  </si>
  <si>
    <t>LEF * Control, A38*(1-A40) → 1.92</t>
  </si>
  <si>
    <t>New ALE after control</t>
  </si>
  <si>
    <t>(PL + SL) * ALE, (A36+A37)*A41 → $200,000</t>
  </si>
  <si>
    <t>Control Cost ($)</t>
  </si>
  <si>
    <t>Total Annual Cost with Control</t>
  </si>
  <si>
    <t>New ALE + Control, A42 + A43 → $280,000</t>
  </si>
  <si>
    <t>Savings</t>
  </si>
  <si>
    <t>ALE - Total Control, A39-A44 → $220,000</t>
  </si>
  <si>
    <t>Summary</t>
  </si>
  <si>
    <t>Option</t>
  </si>
  <si>
    <t>Annual Loss</t>
  </si>
  <si>
    <t>Control Cost</t>
  </si>
  <si>
    <t>Total Cost</t>
  </si>
  <si>
    <t>Net Savings</t>
  </si>
  <si>
    <t xml:space="preserve">Without Control	</t>
  </si>
  <si>
    <t xml:space="preserve">With Control	</t>
  </si>
  <si>
    <r>
      <rPr>
        <b/>
        <sz val="10"/>
        <color theme="1"/>
        <rFont val="Arial"/>
        <family val="2"/>
      </rPr>
      <t>Result:</t>
    </r>
    <r>
      <rPr>
        <sz val="10"/>
        <color theme="1"/>
        <rFont val="Arial"/>
        <family val="2"/>
      </rPr>
      <t xml:space="preserve"> Implementing the Security Awareness Program saves </t>
    </r>
    <r>
      <rPr>
        <b/>
        <sz val="10"/>
        <color theme="1"/>
        <rFont val="Arial"/>
        <family val="2"/>
      </rPr>
      <t>$208,000 annually</t>
    </r>
    <r>
      <rPr>
        <sz val="10"/>
        <color theme="1"/>
        <rFont val="Arial"/>
        <family val="2"/>
      </rPr>
      <t xml:space="preserve">, offering a </t>
    </r>
    <r>
      <rPr>
        <b/>
        <sz val="10"/>
        <color theme="1"/>
        <rFont val="Arial"/>
        <family val="2"/>
      </rPr>
      <t>positive return on security investment (ROSI)</t>
    </r>
    <r>
      <rPr>
        <sz val="10"/>
        <color theme="1"/>
        <rFont val="Arial"/>
        <family val="2"/>
      </rPr>
      <t xml:space="preserve"> of </t>
    </r>
    <r>
      <rPr>
        <b/>
        <sz val="10"/>
        <color theme="1"/>
        <rFont val="Arial"/>
        <family val="2"/>
      </rPr>
      <t>275%</t>
    </r>
    <r>
      <rPr>
        <sz val="10"/>
        <color theme="1"/>
        <rFont val="Arial"/>
        <family val="2"/>
      </rPr>
      <t>.</t>
    </r>
  </si>
  <si>
    <t>Susceptibility  (Probability of Success)</t>
  </si>
  <si>
    <t>Susceptibility is the chance that a threat event actually results in a loss.
Example:
20% of phishing emails are successful.</t>
  </si>
  <si>
    <t xml:space="preserve">Susceptibility </t>
  </si>
  <si>
    <t>LEF represents how often a loss is expected to occur per year.
Formula:
LEF = TEF × Susceptibility</t>
  </si>
  <si>
    <t>TEF × Susceptibility → 25 × 0.20 = 5</t>
  </si>
  <si>
    <t>Susceptibility = 0.20 (20%)</t>
  </si>
  <si>
    <t>GRC Mastery Worksheet Example</t>
  </si>
  <si>
    <t>The first step is to clearly describe the risk event being analszed.
Example (GRC Mastery):
“A phishing attack could compromise client project data.”
This sets the scope. What asset could be affected, what threat might exploit it, and what form the loss could take.</t>
  </si>
  <si>
    <t>Annualised Loss Exposure (ALE)</t>
  </si>
  <si>
    <r>
      <t xml:space="preserve">To support this decision, GRC Mastery’s risk management unit applied the </t>
    </r>
    <r>
      <rPr>
        <b/>
        <sz val="11"/>
        <color theme="1"/>
        <rFont val="Aptos Narrow"/>
      </rPr>
      <t>FAIR (Factor Analysis of Information Risk)</t>
    </r>
    <r>
      <rPr>
        <sz val="11"/>
        <color theme="1"/>
        <rFont val="Aptos Narrow"/>
      </rPr>
      <t xml:space="preserve"> model, following guidelines from the </t>
    </r>
    <r>
      <rPr>
        <b/>
        <sz val="11"/>
        <color theme="1"/>
        <rFont val="Aptos Narrow"/>
      </rPr>
      <t>FAIR Institute</t>
    </r>
    <r>
      <rPr>
        <sz val="11"/>
        <color theme="1"/>
        <rFont val="Aptos Narrow"/>
      </rPr>
      <t xml:space="preserve">. The analysis was performed using </t>
    </r>
    <r>
      <rPr>
        <b/>
        <sz val="11"/>
        <color theme="1"/>
        <rFont val="Aptos Narrow"/>
      </rPr>
      <t>Excel</t>
    </r>
    <r>
      <rPr>
        <sz val="11"/>
        <color theme="1"/>
        <rFont val="Aptos Narrow"/>
      </rPr>
      <t xml:space="preserve"> to track calculations and visualise outcomes.</t>
    </r>
  </si>
  <si>
    <r>
      <t xml:space="preserve">This spreadsheet is provided for informational and </t>
    </r>
    <r>
      <rPr>
        <b/>
        <sz val="20"/>
        <color theme="1"/>
        <rFont val="Aptos Narrow"/>
        <family val="2"/>
        <scheme val="minor"/>
      </rPr>
      <t>educational purposes</t>
    </r>
    <r>
      <rPr>
        <sz val="20"/>
        <color theme="1"/>
        <rFont val="Aptos Narrow"/>
        <family val="2"/>
        <scheme val="minor"/>
      </rPr>
      <t xml:space="preserve"> only as part of </t>
    </r>
    <r>
      <rPr>
        <sz val="20"/>
        <color rgb="FFFF0000"/>
        <rFont val="Calibri (Body)"/>
      </rPr>
      <t>GRC Mastery</t>
    </r>
    <r>
      <rPr>
        <sz val="20"/>
        <color theme="1"/>
        <rFont val="Aptos Narrow"/>
        <family val="2"/>
        <scheme val="minor"/>
      </rPr>
      <t xml:space="preserve"> training course. While we have made reasonable efforts to ensure the accuracy of the information contained herein, it is not intended to be professional advice.  We make no warranties or representations of any kind, express or implied, regarding the accuracy or completeness of the information provided. You should not rely on this spreadsheet for any commercial decision-making. By using this spreadsheet, you agree to hold us harmless from any and all damages or losses arising from your use of this spreadsheet.</t>
    </r>
  </si>
  <si>
    <r>
      <t>GRC Mastery</t>
    </r>
    <r>
      <rPr>
        <sz val="11"/>
        <color theme="1"/>
        <rFont val="Aptos Narrow"/>
      </rPr>
      <t>, a Governance, Risk, and Compliance consulting firm, specialises in managing sensitive client data for multiple corporate clients.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</si>
</sst>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quot;$&quot;#,##0;[Red]\-&quot;$&quot;#,##0"/>
    <numFmt numFmtId="166" formatCode="&quot;$&quot;#,##0"/>
    <numFmt numFmtId="167" formatCode="&quot;$&quot;#,##0.00"/>
  </numFmts>
  <fonts count="18">
    <font>
      <sz val="11"/>
      <color theme="1"/>
      <name val="Aptos Narrow"/>
      <scheme val="minor"/>
    </font>
    <font>
      <b/>
      <sz val="18"/>
      <color theme="1"/>
      <name val="Aptos Narrow"/>
    </font>
    <font>
      <sz val="11"/>
      <color theme="1"/>
      <name val="Aptos Narrow"/>
    </font>
    <font>
      <b/>
      <sz val="13"/>
      <color theme="1"/>
      <name val="Aptos Narrow"/>
    </font>
    <font>
      <b/>
      <sz val="11"/>
      <color theme="1"/>
      <name val="Aptos Narrow"/>
    </font>
    <font>
      <sz val="11"/>
      <name val="Aptos Narrow"/>
    </font>
    <font>
      <b/>
      <sz val="10"/>
      <color theme="1"/>
      <name val="Arial"/>
      <family val="2"/>
    </font>
    <font>
      <sz val="10"/>
      <color theme="1"/>
      <name val="Arial"/>
      <family val="2"/>
    </font>
    <font>
      <sz val="10"/>
      <color theme="1"/>
      <name val="Aptos Narrow"/>
      <scheme val="minor"/>
    </font>
    <font>
      <sz val="10"/>
      <color theme="1"/>
      <name val="Aptos Narrow"/>
    </font>
    <font>
      <b/>
      <sz val="10"/>
      <color theme="1"/>
      <name val="Aptos Narrow"/>
      <scheme val="minor"/>
    </font>
    <font>
      <sz val="10"/>
      <color theme="1"/>
      <name val="Arimo"/>
    </font>
    <font>
      <b/>
      <sz val="10"/>
      <color theme="1"/>
      <name val="Aptos Narrow"/>
    </font>
    <font>
      <b/>
      <i/>
      <sz val="10"/>
      <color theme="1"/>
      <name val="Aptos Narrow"/>
      <scheme val="minor"/>
    </font>
    <font>
      <b/>
      <i/>
      <sz val="10"/>
      <color theme="1"/>
      <name val="Aptos Narrow"/>
    </font>
    <font>
      <sz val="20"/>
      <color theme="1"/>
      <name val="Aptos Narrow"/>
      <family val="2"/>
      <scheme val="minor"/>
    </font>
    <font>
      <b/>
      <sz val="20"/>
      <color theme="1"/>
      <name val="Aptos Narrow"/>
      <family val="2"/>
      <scheme val="minor"/>
    </font>
    <font>
      <sz val="20"/>
      <color rgb="FFFF0000"/>
      <name val="Calibri (Body)"/>
    </font>
  </fonts>
  <fills count="4">
    <fill>
      <patternFill patternType="none"/>
    </fill>
    <fill>
      <patternFill patternType="gray125"/>
    </fill>
    <fill>
      <patternFill patternType="solid">
        <fgColor rgb="FFD8D8D8"/>
        <bgColor rgb="FFD8D8D8"/>
      </patternFill>
    </fill>
    <fill>
      <patternFill patternType="solid">
        <fgColor theme="1"/>
        <bgColor theme="1"/>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4">
    <xf numFmtId="0" fontId="0" fillId="0" borderId="0" xfId="0"/>
    <xf numFmtId="0" fontId="1" fillId="2" borderId="1" xfId="0" applyFont="1" applyFill="1" applyBorder="1" applyAlignment="1">
      <alignment vertical="center"/>
    </xf>
    <xf numFmtId="0" fontId="2" fillId="2" borderId="1" xfId="0" applyFont="1" applyFill="1" applyBorder="1"/>
    <xf numFmtId="0" fontId="3" fillId="0" borderId="0" xfId="0" applyFont="1" applyAlignment="1">
      <alignment vertical="center"/>
    </xf>
    <xf numFmtId="0" fontId="4" fillId="2" borderId="1" xfId="0" applyFont="1" applyFill="1" applyBorder="1"/>
    <xf numFmtId="0" fontId="4" fillId="2" borderId="1"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7" fillId="0" borderId="0" xfId="0" applyFont="1" applyAlignment="1">
      <alignment vertical="center" wrapText="1"/>
    </xf>
    <xf numFmtId="0" fontId="7" fillId="0" borderId="0" xfId="0" applyFont="1" applyAlignment="1">
      <alignment horizontal="left" vertical="center" wrapText="1"/>
    </xf>
    <xf numFmtId="1" fontId="6" fillId="0" borderId="0" xfId="0" applyNumberFormat="1" applyFont="1" applyAlignment="1">
      <alignment vertical="center" wrapText="1"/>
    </xf>
    <xf numFmtId="2" fontId="6" fillId="0" borderId="0" xfId="0" applyNumberFormat="1" applyFont="1" applyAlignment="1">
      <alignment vertical="center" wrapText="1"/>
    </xf>
    <xf numFmtId="164" fontId="6" fillId="0" borderId="0" xfId="0" applyNumberFormat="1" applyFont="1" applyAlignment="1">
      <alignment vertical="center" wrapText="1"/>
    </xf>
    <xf numFmtId="165" fontId="6" fillId="0" borderId="0" xfId="0" applyNumberFormat="1" applyFont="1" applyAlignment="1">
      <alignment vertical="center" wrapText="1"/>
    </xf>
    <xf numFmtId="0" fontId="2" fillId="3" borderId="1" xfId="0" applyFont="1" applyFill="1" applyBorder="1"/>
    <xf numFmtId="0" fontId="7" fillId="0" borderId="0" xfId="0" applyFont="1"/>
    <xf numFmtId="0" fontId="8" fillId="0" borderId="0" xfId="0" applyFont="1"/>
    <xf numFmtId="166" fontId="9" fillId="0" borderId="0" xfId="0" applyNumberFormat="1" applyFont="1" applyAlignment="1">
      <alignment vertical="center"/>
    </xf>
    <xf numFmtId="166" fontId="9" fillId="0" borderId="0" xfId="0" applyNumberFormat="1" applyFont="1"/>
    <xf numFmtId="0" fontId="7" fillId="0" borderId="0" xfId="0" applyFont="1" applyAlignment="1">
      <alignment horizontal="left"/>
    </xf>
    <xf numFmtId="167" fontId="9" fillId="0" borderId="0" xfId="0" applyNumberFormat="1" applyFont="1"/>
    <xf numFmtId="0" fontId="10" fillId="0" borderId="0" xfId="0" applyFont="1"/>
    <xf numFmtId="0" fontId="11" fillId="0" borderId="0" xfId="0" applyFont="1" applyAlignment="1">
      <alignment vertical="center" wrapText="1"/>
    </xf>
    <xf numFmtId="9" fontId="6" fillId="0" borderId="0" xfId="0" applyNumberFormat="1" applyFont="1"/>
    <xf numFmtId="0" fontId="6" fillId="0" borderId="0" xfId="0" applyFont="1"/>
    <xf numFmtId="167" fontId="12" fillId="0" borderId="0" xfId="0" applyNumberFormat="1" applyFont="1"/>
    <xf numFmtId="0" fontId="13" fillId="0" borderId="0" xfId="0" applyFont="1"/>
    <xf numFmtId="167" fontId="14" fillId="0" borderId="0" xfId="0" applyNumberFormat="1" applyFont="1"/>
    <xf numFmtId="167" fontId="7" fillId="0" borderId="0" xfId="0" applyNumberFormat="1" applyFont="1"/>
    <xf numFmtId="0" fontId="6" fillId="2" borderId="1" xfId="0" applyFont="1" applyFill="1" applyBorder="1" applyAlignment="1">
      <alignment vertical="center"/>
    </xf>
    <xf numFmtId="0" fontId="7" fillId="2" borderId="1" xfId="0" applyFont="1" applyFill="1" applyBorder="1"/>
    <xf numFmtId="0" fontId="7" fillId="3" borderId="1" xfId="0" applyFont="1" applyFill="1" applyBorder="1" applyAlignment="1">
      <alignment vertical="center"/>
    </xf>
    <xf numFmtId="0" fontId="6" fillId="2" borderId="1" xfId="0" applyFont="1" applyFill="1" applyBorder="1" applyAlignment="1">
      <alignment horizontal="center" vertical="center" wrapText="1"/>
    </xf>
    <xf numFmtId="0" fontId="6" fillId="0" borderId="0" xfId="0" applyFont="1" applyAlignment="1">
      <alignment vertical="top" wrapText="1"/>
    </xf>
    <xf numFmtId="165" fontId="7" fillId="0" borderId="0" xfId="0" applyNumberFormat="1" applyFont="1" applyAlignment="1">
      <alignment horizontal="center" vertical="center"/>
    </xf>
    <xf numFmtId="165"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6" fillId="2" borderId="1" xfId="0" applyFont="1" applyFill="1" applyBorder="1"/>
    <xf numFmtId="0" fontId="15" fillId="0" borderId="0" xfId="0" applyFont="1" applyAlignment="1">
      <alignment horizontal="left" wrapText="1"/>
    </xf>
    <xf numFmtId="0" fontId="2" fillId="2" borderId="2" xfId="0" applyFont="1" applyFill="1" applyBorder="1" applyAlignment="1">
      <alignment horizontal="left" vertical="center" wrapText="1"/>
    </xf>
    <xf numFmtId="0" fontId="5" fillId="0" borderId="3" xfId="0" applyFont="1" applyBorder="1"/>
    <xf numFmtId="0" fontId="5" fillId="0" borderId="4" xfId="0" applyFont="1" applyBorder="1"/>
    <xf numFmtId="0" fontId="2" fillId="0" borderId="0" xfId="0" applyFont="1" applyAlignment="1">
      <alignment horizontal="lef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342900</xdr:colOff>
      <xdr:row>0</xdr:row>
      <xdr:rowOff>0</xdr:rowOff>
    </xdr:from>
    <xdr:to>
      <xdr:col>6</xdr:col>
      <xdr:colOff>469900</xdr:colOff>
      <xdr:row>18</xdr:row>
      <xdr:rowOff>0</xdr:rowOff>
    </xdr:to>
    <xdr:pic>
      <xdr:nvPicPr>
        <xdr:cNvPr id="2" name="Picture 1">
          <a:extLst>
            <a:ext uri="{FF2B5EF4-FFF2-40B4-BE49-F238E27FC236}">
              <a16:creationId xmlns:a16="http://schemas.microsoft.com/office/drawing/2014/main" id="{F7ACB63F-8FDA-B146-973E-4BD811F6D674}"/>
            </a:ext>
          </a:extLst>
        </xdr:cNvPr>
        <xdr:cNvPicPr>
          <a:picLocks noChangeAspect="1"/>
        </xdr:cNvPicPr>
      </xdr:nvPicPr>
      <xdr:blipFill>
        <a:blip xmlns:r="http://schemas.openxmlformats.org/officeDocument/2006/relationships" r:embed="rId1"/>
        <a:stretch>
          <a:fillRect/>
        </a:stretch>
      </xdr:blipFill>
      <xdr:spPr>
        <a:xfrm>
          <a:off x="1993900" y="0"/>
          <a:ext cx="3429000" cy="34290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8AD1E-2B9D-E646-9268-53F481F86571}">
  <dimension ref="A1:K32"/>
  <sheetViews>
    <sheetView topLeftCell="A2" workbookViewId="0">
      <selection activeCell="E43" sqref="E43"/>
    </sheetView>
  </sheetViews>
  <sheetFormatPr baseColWidth="10" defaultRowHeight="15"/>
  <sheetData>
    <row r="1" spans="1:11">
      <c r="A1" s="38" t="s">
        <v>63</v>
      </c>
      <c r="B1" s="38"/>
      <c r="C1" s="38"/>
      <c r="D1" s="38"/>
      <c r="E1" s="38"/>
      <c r="F1" s="38"/>
      <c r="G1" s="38"/>
      <c r="H1" s="38"/>
      <c r="I1" s="38"/>
      <c r="J1" s="38"/>
      <c r="K1" s="38"/>
    </row>
    <row r="2" spans="1:11">
      <c r="A2" s="38"/>
      <c r="B2" s="38"/>
      <c r="C2" s="38"/>
      <c r="D2" s="38"/>
      <c r="E2" s="38"/>
      <c r="F2" s="38"/>
      <c r="G2" s="38"/>
      <c r="H2" s="38"/>
      <c r="I2" s="38"/>
      <c r="J2" s="38"/>
      <c r="K2" s="38"/>
    </row>
    <row r="3" spans="1:11">
      <c r="A3" s="38"/>
      <c r="B3" s="38"/>
      <c r="C3" s="38"/>
      <c r="D3" s="38"/>
      <c r="E3" s="38"/>
      <c r="F3" s="38"/>
      <c r="G3" s="38"/>
      <c r="H3" s="38"/>
      <c r="I3" s="38"/>
      <c r="J3" s="38"/>
      <c r="K3" s="38"/>
    </row>
    <row r="4" spans="1:11">
      <c r="A4" s="38"/>
      <c r="B4" s="38"/>
      <c r="C4" s="38"/>
      <c r="D4" s="38"/>
      <c r="E4" s="38"/>
      <c r="F4" s="38"/>
      <c r="G4" s="38"/>
      <c r="H4" s="38"/>
      <c r="I4" s="38"/>
      <c r="J4" s="38"/>
      <c r="K4" s="38"/>
    </row>
    <row r="5" spans="1:11">
      <c r="A5" s="38"/>
      <c r="B5" s="38"/>
      <c r="C5" s="38"/>
      <c r="D5" s="38"/>
      <c r="E5" s="38"/>
      <c r="F5" s="38"/>
      <c r="G5" s="38"/>
      <c r="H5" s="38"/>
      <c r="I5" s="38"/>
      <c r="J5" s="38"/>
      <c r="K5" s="38"/>
    </row>
    <row r="6" spans="1:11">
      <c r="A6" s="38"/>
      <c r="B6" s="38"/>
      <c r="C6" s="38"/>
      <c r="D6" s="38"/>
      <c r="E6" s="38"/>
      <c r="F6" s="38"/>
      <c r="G6" s="38"/>
      <c r="H6" s="38"/>
      <c r="I6" s="38"/>
      <c r="J6" s="38"/>
      <c r="K6" s="38"/>
    </row>
    <row r="7" spans="1:11">
      <c r="A7" s="38"/>
      <c r="B7" s="38"/>
      <c r="C7" s="38"/>
      <c r="D7" s="38"/>
      <c r="E7" s="38"/>
      <c r="F7" s="38"/>
      <c r="G7" s="38"/>
      <c r="H7" s="38"/>
      <c r="I7" s="38"/>
      <c r="J7" s="38"/>
      <c r="K7" s="38"/>
    </row>
    <row r="8" spans="1:11">
      <c r="A8" s="38"/>
      <c r="B8" s="38"/>
      <c r="C8" s="38"/>
      <c r="D8" s="38"/>
      <c r="E8" s="38"/>
      <c r="F8" s="38"/>
      <c r="G8" s="38"/>
      <c r="H8" s="38"/>
      <c r="I8" s="38"/>
      <c r="J8" s="38"/>
      <c r="K8" s="38"/>
    </row>
    <row r="9" spans="1:11">
      <c r="A9" s="38"/>
      <c r="B9" s="38"/>
      <c r="C9" s="38"/>
      <c r="D9" s="38"/>
      <c r="E9" s="38"/>
      <c r="F9" s="38"/>
      <c r="G9" s="38"/>
      <c r="H9" s="38"/>
      <c r="I9" s="38"/>
      <c r="J9" s="38"/>
      <c r="K9" s="38"/>
    </row>
    <row r="10" spans="1:11">
      <c r="A10" s="38"/>
      <c r="B10" s="38"/>
      <c r="C10" s="38"/>
      <c r="D10" s="38"/>
      <c r="E10" s="38"/>
      <c r="F10" s="38"/>
      <c r="G10" s="38"/>
      <c r="H10" s="38"/>
      <c r="I10" s="38"/>
      <c r="J10" s="38"/>
      <c r="K10" s="38"/>
    </row>
    <row r="11" spans="1:11">
      <c r="A11" s="38"/>
      <c r="B11" s="38"/>
      <c r="C11" s="38"/>
      <c r="D11" s="38"/>
      <c r="E11" s="38"/>
      <c r="F11" s="38"/>
      <c r="G11" s="38"/>
      <c r="H11" s="38"/>
      <c r="I11" s="38"/>
      <c r="J11" s="38"/>
      <c r="K11" s="38"/>
    </row>
    <row r="12" spans="1:11">
      <c r="A12" s="38"/>
      <c r="B12" s="38"/>
      <c r="C12" s="38"/>
      <c r="D12" s="38"/>
      <c r="E12" s="38"/>
      <c r="F12" s="38"/>
      <c r="G12" s="38"/>
      <c r="H12" s="38"/>
      <c r="I12" s="38"/>
      <c r="J12" s="38"/>
      <c r="K12" s="38"/>
    </row>
    <row r="13" spans="1:11">
      <c r="A13" s="38"/>
      <c r="B13" s="38"/>
      <c r="C13" s="38"/>
      <c r="D13" s="38"/>
      <c r="E13" s="38"/>
      <c r="F13" s="38"/>
      <c r="G13" s="38"/>
      <c r="H13" s="38"/>
      <c r="I13" s="38"/>
      <c r="J13" s="38"/>
      <c r="K13" s="38"/>
    </row>
    <row r="14" spans="1:11">
      <c r="A14" s="38"/>
      <c r="B14" s="38"/>
      <c r="C14" s="38"/>
      <c r="D14" s="38"/>
      <c r="E14" s="38"/>
      <c r="F14" s="38"/>
      <c r="G14" s="38"/>
      <c r="H14" s="38"/>
      <c r="I14" s="38"/>
      <c r="J14" s="38"/>
      <c r="K14" s="38"/>
    </row>
    <row r="15" spans="1:11">
      <c r="A15" s="38"/>
      <c r="B15" s="38"/>
      <c r="C15" s="38"/>
      <c r="D15" s="38"/>
      <c r="E15" s="38"/>
      <c r="F15" s="38"/>
      <c r="G15" s="38"/>
      <c r="H15" s="38"/>
      <c r="I15" s="38"/>
      <c r="J15" s="38"/>
      <c r="K15" s="38"/>
    </row>
    <row r="16" spans="1:11">
      <c r="A16" s="38"/>
      <c r="B16" s="38"/>
      <c r="C16" s="38"/>
      <c r="D16" s="38"/>
      <c r="E16" s="38"/>
      <c r="F16" s="38"/>
      <c r="G16" s="38"/>
      <c r="H16" s="38"/>
      <c r="I16" s="38"/>
      <c r="J16" s="38"/>
      <c r="K16" s="38"/>
    </row>
    <row r="17" spans="1:11">
      <c r="A17" s="38"/>
      <c r="B17" s="38"/>
      <c r="C17" s="38"/>
      <c r="D17" s="38"/>
      <c r="E17" s="38"/>
      <c r="F17" s="38"/>
      <c r="G17" s="38"/>
      <c r="H17" s="38"/>
      <c r="I17" s="38"/>
      <c r="J17" s="38"/>
      <c r="K17" s="38"/>
    </row>
    <row r="18" spans="1:11">
      <c r="A18" s="38"/>
      <c r="B18" s="38"/>
      <c r="C18" s="38"/>
      <c r="D18" s="38"/>
      <c r="E18" s="38"/>
      <c r="F18" s="38"/>
      <c r="G18" s="38"/>
      <c r="H18" s="38"/>
      <c r="I18" s="38"/>
      <c r="J18" s="38"/>
      <c r="K18" s="38"/>
    </row>
    <row r="19" spans="1:11">
      <c r="A19" s="38"/>
      <c r="B19" s="38"/>
      <c r="C19" s="38"/>
      <c r="D19" s="38"/>
      <c r="E19" s="38"/>
      <c r="F19" s="38"/>
      <c r="G19" s="38"/>
      <c r="H19" s="38"/>
      <c r="I19" s="38"/>
      <c r="J19" s="38"/>
      <c r="K19" s="38"/>
    </row>
    <row r="20" spans="1:11">
      <c r="A20" s="38"/>
      <c r="B20" s="38"/>
      <c r="C20" s="38"/>
      <c r="D20" s="38"/>
      <c r="E20" s="38"/>
      <c r="F20" s="38"/>
      <c r="G20" s="38"/>
      <c r="H20" s="38"/>
      <c r="I20" s="38"/>
      <c r="J20" s="38"/>
      <c r="K20" s="38"/>
    </row>
    <row r="21" spans="1:11">
      <c r="A21" s="38"/>
      <c r="B21" s="38"/>
      <c r="C21" s="38"/>
      <c r="D21" s="38"/>
      <c r="E21" s="38"/>
      <c r="F21" s="38"/>
      <c r="G21" s="38"/>
      <c r="H21" s="38"/>
      <c r="I21" s="38"/>
      <c r="J21" s="38"/>
      <c r="K21" s="38"/>
    </row>
    <row r="22" spans="1:11">
      <c r="A22" s="38"/>
      <c r="B22" s="38"/>
      <c r="C22" s="38"/>
      <c r="D22" s="38"/>
      <c r="E22" s="38"/>
      <c r="F22" s="38"/>
      <c r="G22" s="38"/>
      <c r="H22" s="38"/>
      <c r="I22" s="38"/>
      <c r="J22" s="38"/>
      <c r="K22" s="38"/>
    </row>
    <row r="23" spans="1:11">
      <c r="A23" s="38"/>
      <c r="B23" s="38"/>
      <c r="C23" s="38"/>
      <c r="D23" s="38"/>
      <c r="E23" s="38"/>
      <c r="F23" s="38"/>
      <c r="G23" s="38"/>
      <c r="H23" s="38"/>
      <c r="I23" s="38"/>
      <c r="J23" s="38"/>
      <c r="K23" s="38"/>
    </row>
    <row r="24" spans="1:11">
      <c r="A24" s="38"/>
      <c r="B24" s="38"/>
      <c r="C24" s="38"/>
      <c r="D24" s="38"/>
      <c r="E24" s="38"/>
      <c r="F24" s="38"/>
      <c r="G24" s="38"/>
      <c r="H24" s="38"/>
      <c r="I24" s="38"/>
      <c r="J24" s="38"/>
      <c r="K24" s="38"/>
    </row>
    <row r="25" spans="1:11">
      <c r="A25" s="38"/>
      <c r="B25" s="38"/>
      <c r="C25" s="38"/>
      <c r="D25" s="38"/>
      <c r="E25" s="38"/>
      <c r="F25" s="38"/>
      <c r="G25" s="38"/>
      <c r="H25" s="38"/>
      <c r="I25" s="38"/>
      <c r="J25" s="38"/>
      <c r="K25" s="38"/>
    </row>
    <row r="26" spans="1:11">
      <c r="A26" s="38"/>
      <c r="B26" s="38"/>
      <c r="C26" s="38"/>
      <c r="D26" s="38"/>
      <c r="E26" s="38"/>
      <c r="F26" s="38"/>
      <c r="G26" s="38"/>
      <c r="H26" s="38"/>
      <c r="I26" s="38"/>
      <c r="J26" s="38"/>
      <c r="K26" s="38"/>
    </row>
    <row r="27" spans="1:11">
      <c r="A27" s="38"/>
      <c r="B27" s="38"/>
      <c r="C27" s="38"/>
      <c r="D27" s="38"/>
      <c r="E27" s="38"/>
      <c r="F27" s="38"/>
      <c r="G27" s="38"/>
      <c r="H27" s="38"/>
      <c r="I27" s="38"/>
      <c r="J27" s="38"/>
      <c r="K27" s="38"/>
    </row>
    <row r="28" spans="1:11">
      <c r="A28" s="38"/>
      <c r="B28" s="38"/>
      <c r="C28" s="38"/>
      <c r="D28" s="38"/>
      <c r="E28" s="38"/>
      <c r="F28" s="38"/>
      <c r="G28" s="38"/>
      <c r="H28" s="38"/>
      <c r="I28" s="38"/>
      <c r="J28" s="38"/>
      <c r="K28" s="38"/>
    </row>
    <row r="29" spans="1:11">
      <c r="A29" s="38"/>
      <c r="B29" s="38"/>
      <c r="C29" s="38"/>
      <c r="D29" s="38"/>
      <c r="E29" s="38"/>
      <c r="F29" s="38"/>
      <c r="G29" s="38"/>
      <c r="H29" s="38"/>
      <c r="I29" s="38"/>
      <c r="J29" s="38"/>
      <c r="K29" s="38"/>
    </row>
    <row r="30" spans="1:11">
      <c r="A30" s="38"/>
      <c r="B30" s="38"/>
      <c r="C30" s="38"/>
      <c r="D30" s="38"/>
      <c r="E30" s="38"/>
      <c r="F30" s="38"/>
      <c r="G30" s="38"/>
      <c r="H30" s="38"/>
      <c r="I30" s="38"/>
      <c r="J30" s="38"/>
      <c r="K30" s="38"/>
    </row>
    <row r="31" spans="1:11">
      <c r="A31" s="38"/>
      <c r="B31" s="38"/>
      <c r="C31" s="38"/>
      <c r="D31" s="38"/>
      <c r="E31" s="38"/>
      <c r="F31" s="38"/>
      <c r="G31" s="38"/>
      <c r="H31" s="38"/>
      <c r="I31" s="38"/>
      <c r="J31" s="38"/>
      <c r="K31" s="38"/>
    </row>
    <row r="32" spans="1:11">
      <c r="A32" s="38"/>
      <c r="B32" s="38"/>
      <c r="C32" s="38"/>
      <c r="D32" s="38"/>
      <c r="E32" s="38"/>
      <c r="F32" s="38"/>
      <c r="G32" s="38"/>
      <c r="H32" s="38"/>
      <c r="I32" s="38"/>
      <c r="J32" s="38"/>
      <c r="K32" s="38"/>
    </row>
  </sheetData>
  <mergeCells count="1">
    <mergeCell ref="A1:K3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2"/>
  <sheetViews>
    <sheetView tabSelected="1" topLeftCell="A27" zoomScale="150" workbookViewId="0">
      <selection activeCell="A6" sqref="A6:E6"/>
    </sheetView>
  </sheetViews>
  <sheetFormatPr baseColWidth="10" defaultColWidth="12.6640625" defaultRowHeight="15" customHeight="1"/>
  <cols>
    <col min="1" max="1" width="9.6640625" customWidth="1"/>
    <col min="2" max="2" width="33.33203125" customWidth="1"/>
    <col min="3" max="3" width="40.6640625" customWidth="1"/>
    <col min="4" max="4" width="31.6640625" customWidth="1"/>
    <col min="5" max="5" width="11.5" customWidth="1"/>
    <col min="6" max="26" width="8.6640625" customWidth="1"/>
  </cols>
  <sheetData>
    <row r="1" spans="1:5" ht="29" customHeight="1">
      <c r="A1" s="1" t="s">
        <v>0</v>
      </c>
      <c r="B1" s="2"/>
      <c r="C1" s="2"/>
      <c r="D1" s="2"/>
      <c r="E1" s="2"/>
    </row>
    <row r="2" spans="1:5" ht="14.25" customHeight="1"/>
    <row r="3" spans="1:5" ht="14.25" customHeight="1">
      <c r="A3" s="3" t="s">
        <v>1</v>
      </c>
    </row>
    <row r="4" spans="1:5" ht="14.25" customHeight="1"/>
    <row r="5" spans="1:5" ht="14.25" customHeight="1">
      <c r="A5" s="4" t="s">
        <v>64</v>
      </c>
      <c r="B5" s="2"/>
      <c r="C5" s="2"/>
      <c r="D5" s="2"/>
      <c r="E5" s="2"/>
    </row>
    <row r="6" spans="1:5" ht="34.5" customHeight="1">
      <c r="A6" s="39" t="s">
        <v>2</v>
      </c>
      <c r="B6" s="40"/>
      <c r="C6" s="40"/>
      <c r="D6" s="40"/>
      <c r="E6" s="41"/>
    </row>
    <row r="7" spans="1:5" ht="14.25" customHeight="1"/>
    <row r="8" spans="1:5" ht="42" customHeight="1">
      <c r="A8" s="42" t="s">
        <v>62</v>
      </c>
      <c r="B8" s="43"/>
      <c r="C8" s="43"/>
      <c r="D8" s="43"/>
      <c r="E8" s="43"/>
    </row>
    <row r="9" spans="1:5" ht="14.25" customHeight="1"/>
    <row r="10" spans="1:5" ht="14.25" customHeight="1">
      <c r="A10" s="5" t="s">
        <v>3</v>
      </c>
      <c r="B10" s="5" t="s">
        <v>4</v>
      </c>
      <c r="C10" s="5" t="s">
        <v>5</v>
      </c>
      <c r="D10" s="5" t="s">
        <v>6</v>
      </c>
      <c r="E10" s="5" t="s">
        <v>7</v>
      </c>
    </row>
    <row r="11" spans="1:5" ht="140">
      <c r="A11" s="6">
        <v>1</v>
      </c>
      <c r="B11" s="7" t="s">
        <v>8</v>
      </c>
      <c r="C11" s="8" t="s">
        <v>60</v>
      </c>
      <c r="D11" s="8"/>
      <c r="E11" s="9" t="s">
        <v>9</v>
      </c>
    </row>
    <row r="12" spans="1:5" ht="56">
      <c r="A12" s="6">
        <v>2</v>
      </c>
      <c r="B12" s="7" t="s">
        <v>10</v>
      </c>
      <c r="C12" s="8" t="s">
        <v>11</v>
      </c>
      <c r="D12" s="8"/>
      <c r="E12" s="8" t="s">
        <v>9</v>
      </c>
    </row>
    <row r="13" spans="1:5" ht="78.75" customHeight="1">
      <c r="A13" s="6">
        <v>3</v>
      </c>
      <c r="B13" s="7" t="s">
        <v>12</v>
      </c>
      <c r="C13" s="8" t="s">
        <v>13</v>
      </c>
      <c r="D13" s="7" t="s">
        <v>14</v>
      </c>
      <c r="E13" s="10">
        <v>25</v>
      </c>
    </row>
    <row r="14" spans="1:5" ht="70">
      <c r="A14" s="6">
        <v>4</v>
      </c>
      <c r="B14" s="7" t="s">
        <v>53</v>
      </c>
      <c r="C14" s="8" t="s">
        <v>54</v>
      </c>
      <c r="D14" s="7" t="s">
        <v>58</v>
      </c>
      <c r="E14" s="11">
        <v>0.2</v>
      </c>
    </row>
    <row r="15" spans="1:5" ht="70">
      <c r="A15" s="6">
        <v>5</v>
      </c>
      <c r="B15" s="7" t="s">
        <v>15</v>
      </c>
      <c r="C15" s="8" t="s">
        <v>56</v>
      </c>
      <c r="D15" s="7" t="s">
        <v>57</v>
      </c>
      <c r="E15" s="12">
        <f>E13*E14</f>
        <v>5</v>
      </c>
    </row>
    <row r="16" spans="1:5" ht="98">
      <c r="A16" s="6">
        <v>6</v>
      </c>
      <c r="B16" s="7" t="s">
        <v>16</v>
      </c>
      <c r="C16" s="8" t="s">
        <v>17</v>
      </c>
      <c r="D16" s="7" t="s">
        <v>18</v>
      </c>
      <c r="E16" s="13">
        <v>40000</v>
      </c>
    </row>
    <row r="17" spans="1:5" ht="56">
      <c r="A17" s="6">
        <v>7</v>
      </c>
      <c r="B17" s="7" t="s">
        <v>19</v>
      </c>
      <c r="C17" s="8" t="s">
        <v>20</v>
      </c>
      <c r="D17" s="7" t="s">
        <v>21</v>
      </c>
      <c r="E17" s="13">
        <v>60000</v>
      </c>
    </row>
    <row r="18" spans="1:5" ht="28">
      <c r="A18" s="6">
        <v>8</v>
      </c>
      <c r="B18" s="7" t="s">
        <v>22</v>
      </c>
      <c r="C18" s="8" t="s">
        <v>23</v>
      </c>
      <c r="D18" s="8" t="s">
        <v>24</v>
      </c>
      <c r="E18" s="13">
        <f>E16+E17</f>
        <v>100000</v>
      </c>
    </row>
    <row r="19" spans="1:5" ht="70">
      <c r="A19" s="6">
        <v>9</v>
      </c>
      <c r="B19" s="7" t="s">
        <v>61</v>
      </c>
      <c r="C19" s="7" t="s">
        <v>25</v>
      </c>
      <c r="D19" s="7" t="s">
        <v>26</v>
      </c>
      <c r="E19" s="13">
        <f>(E16+E17)*E15</f>
        <v>500000</v>
      </c>
    </row>
    <row r="20" spans="1:5" ht="14.25" customHeight="1"/>
    <row r="21" spans="1:5" ht="14.25" customHeight="1">
      <c r="A21" s="14"/>
      <c r="B21" s="14"/>
      <c r="C21" s="14"/>
      <c r="D21" s="14"/>
      <c r="E21" s="14"/>
    </row>
    <row r="22" spans="1:5" ht="14.25" customHeight="1">
      <c r="A22" s="4" t="s">
        <v>59</v>
      </c>
      <c r="B22" s="2"/>
      <c r="C22" s="2"/>
      <c r="D22" s="2"/>
      <c r="E22" s="2"/>
    </row>
    <row r="23" spans="1:5" ht="14.25" customHeight="1"/>
    <row r="24" spans="1:5" ht="14.25" customHeight="1">
      <c r="A24" s="4" t="s">
        <v>27</v>
      </c>
      <c r="B24" s="4" t="s">
        <v>5</v>
      </c>
      <c r="C24" s="4" t="s">
        <v>28</v>
      </c>
      <c r="D24" s="4" t="s">
        <v>7</v>
      </c>
    </row>
    <row r="25" spans="1:5" ht="14.25" customHeight="1">
      <c r="A25" s="15">
        <v>1</v>
      </c>
      <c r="B25" s="16" t="s">
        <v>12</v>
      </c>
      <c r="C25" s="15">
        <v>25</v>
      </c>
      <c r="D25" s="15">
        <v>25</v>
      </c>
    </row>
    <row r="26" spans="1:5" ht="14.25" customHeight="1">
      <c r="A26" s="15">
        <v>2</v>
      </c>
      <c r="B26" s="16" t="s">
        <v>55</v>
      </c>
      <c r="C26" s="16">
        <v>0.2</v>
      </c>
      <c r="D26" s="16">
        <v>0.2</v>
      </c>
    </row>
    <row r="27" spans="1:5" ht="14.25" customHeight="1">
      <c r="A27" s="15">
        <v>3</v>
      </c>
      <c r="B27" s="16" t="s">
        <v>29</v>
      </c>
      <c r="C27" s="17">
        <v>40000</v>
      </c>
      <c r="D27" s="17">
        <v>40000</v>
      </c>
    </row>
    <row r="28" spans="1:5" ht="14.25" customHeight="1">
      <c r="A28" s="15">
        <v>4</v>
      </c>
      <c r="B28" s="16" t="s">
        <v>30</v>
      </c>
      <c r="C28" s="17">
        <v>60000</v>
      </c>
      <c r="D28" s="18">
        <v>60000</v>
      </c>
    </row>
    <row r="29" spans="1:5" ht="14.25" customHeight="1">
      <c r="A29" s="15">
        <v>5</v>
      </c>
      <c r="B29" s="16" t="s">
        <v>15</v>
      </c>
      <c r="C29" s="19" t="s">
        <v>31</v>
      </c>
      <c r="D29" s="16">
        <f>D25*D26</f>
        <v>5</v>
      </c>
    </row>
    <row r="30" spans="1:5" ht="14.25" customHeight="1">
      <c r="A30" s="15">
        <v>6</v>
      </c>
      <c r="B30" s="16" t="s">
        <v>61</v>
      </c>
      <c r="C30" s="19" t="s">
        <v>32</v>
      </c>
      <c r="D30" s="20">
        <f>(D27+D28)*D29</f>
        <v>500000</v>
      </c>
    </row>
    <row r="31" spans="1:5">
      <c r="A31" s="15">
        <v>7</v>
      </c>
      <c r="B31" s="21" t="s">
        <v>33</v>
      </c>
      <c r="C31" s="22" t="s">
        <v>34</v>
      </c>
      <c r="D31" s="23">
        <v>0.6</v>
      </c>
    </row>
    <row r="32" spans="1:5" ht="14.25" customHeight="1">
      <c r="A32" s="15">
        <v>8</v>
      </c>
      <c r="B32" s="21" t="s">
        <v>35</v>
      </c>
      <c r="C32" s="19" t="s">
        <v>36</v>
      </c>
      <c r="D32" s="24">
        <f>D29*(1-D31)</f>
        <v>2</v>
      </c>
    </row>
    <row r="33" spans="1:5" ht="14.25" customHeight="1">
      <c r="A33" s="15">
        <v>9</v>
      </c>
      <c r="B33" s="21" t="s">
        <v>37</v>
      </c>
      <c r="C33" s="19" t="s">
        <v>38</v>
      </c>
      <c r="D33" s="25">
        <f>(D27+D28)*D32</f>
        <v>200000</v>
      </c>
    </row>
    <row r="34" spans="1:5" ht="14.25" customHeight="1">
      <c r="A34" s="15">
        <v>10</v>
      </c>
      <c r="B34" s="26" t="s">
        <v>39</v>
      </c>
      <c r="C34" s="27">
        <v>80000</v>
      </c>
      <c r="D34" s="27">
        <v>80000</v>
      </c>
    </row>
    <row r="35" spans="1:5" ht="14.25" customHeight="1">
      <c r="A35" s="15">
        <v>11</v>
      </c>
      <c r="B35" s="16" t="s">
        <v>40</v>
      </c>
      <c r="C35" s="19" t="s">
        <v>41</v>
      </c>
      <c r="D35" s="28">
        <f>D33+D34</f>
        <v>280000</v>
      </c>
    </row>
    <row r="36" spans="1:5" ht="14.25" customHeight="1">
      <c r="A36" s="15">
        <v>12</v>
      </c>
      <c r="B36" s="16" t="s">
        <v>42</v>
      </c>
      <c r="C36" s="19" t="s">
        <v>43</v>
      </c>
      <c r="D36" s="28">
        <f>D30-D35</f>
        <v>220000</v>
      </c>
    </row>
    <row r="37" spans="1:5" ht="14.25" customHeight="1"/>
    <row r="38" spans="1:5" ht="14.25" customHeight="1">
      <c r="A38" s="29" t="s">
        <v>44</v>
      </c>
      <c r="B38" s="30"/>
      <c r="C38" s="30"/>
      <c r="D38" s="30"/>
      <c r="E38" s="30"/>
    </row>
    <row r="39" spans="1:5" ht="14.25" customHeight="1">
      <c r="A39" s="31"/>
      <c r="B39" s="31"/>
      <c r="C39" s="31"/>
      <c r="D39" s="31"/>
      <c r="E39" s="31"/>
    </row>
    <row r="40" spans="1:5" ht="14.25" customHeight="1">
      <c r="A40" s="32" t="s">
        <v>45</v>
      </c>
      <c r="B40" s="32" t="s">
        <v>46</v>
      </c>
      <c r="C40" s="32" t="s">
        <v>47</v>
      </c>
      <c r="D40" s="32" t="s">
        <v>48</v>
      </c>
      <c r="E40" s="32" t="s">
        <v>49</v>
      </c>
    </row>
    <row r="41" spans="1:5" ht="28">
      <c r="A41" s="33" t="s">
        <v>50</v>
      </c>
      <c r="B41" s="34">
        <v>500000</v>
      </c>
      <c r="C41" s="35">
        <v>0</v>
      </c>
      <c r="D41" s="34">
        <v>500000</v>
      </c>
      <c r="E41" s="36" t="s">
        <v>9</v>
      </c>
    </row>
    <row r="42" spans="1:5" ht="28">
      <c r="A42" s="7" t="s">
        <v>51</v>
      </c>
      <c r="B42" s="34">
        <v>200000</v>
      </c>
      <c r="C42" s="35">
        <v>80000</v>
      </c>
      <c r="D42" s="35">
        <v>280000</v>
      </c>
      <c r="E42" s="35">
        <v>220000</v>
      </c>
    </row>
    <row r="43" spans="1:5" ht="14.25" customHeight="1"/>
    <row r="44" spans="1:5" ht="14.25" customHeight="1">
      <c r="A44" s="37" t="s">
        <v>52</v>
      </c>
      <c r="B44" s="2"/>
      <c r="C44" s="2"/>
      <c r="D44" s="2"/>
      <c r="E44" s="2"/>
    </row>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mergeCells count="2">
    <mergeCell ref="A6:E6"/>
    <mergeCell ref="A8:E8"/>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FAIR 01</vt:lpstr>
    </vt:vector>
  </TitlesOfParts>
  <Manager/>
  <Company>GRC Mastery</Company>
  <LinksUpToDate>false</LinksUpToDate>
  <SharedDoc>false</SharedDoc>
  <HyperlinkBase>https://grcmastery.com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Abed Hamdan</dc:creator>
  <cp:keywords/>
  <dc:description/>
  <cp:lastModifiedBy>Abed Hamdan</cp:lastModifiedBy>
  <dcterms:created xsi:type="dcterms:W3CDTF">2025-11-03T22:29:21Z</dcterms:created>
  <dcterms:modified xsi:type="dcterms:W3CDTF">2025-12-22T12:02:54Z</dcterms:modified>
  <cp:category/>
</cp:coreProperties>
</file>