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HDW\Sec\GRC\11. NIST Project\Project\Practice\NorthStar HealthTech Pvt Ltd\Solution\"/>
    </mc:Choice>
  </mc:AlternateContent>
  <xr:revisionPtr revIDLastSave="0" documentId="13_ncr:1_{56DD639B-2578-4354-8E32-E3506C93648F}" xr6:coauthVersionLast="47" xr6:coauthVersionMax="47" xr10:uidLastSave="{00000000-0000-0000-0000-000000000000}"/>
  <bookViews>
    <workbookView xWindow="-110" yWindow="-110" windowWidth="19420" windowHeight="10300" xr2:uid="{00000000-000D-0000-FFFF-FFFF00000000}"/>
  </bookViews>
  <sheets>
    <sheet name="Evidence Register" sheetId="1" r:id="rId1"/>
    <sheet name="Evidence reference" sheetId="3" r:id="rId2"/>
    <sheet name="Maturity Scale" sheetId="4" r:id="rId3"/>
    <sheet name="Risk Matrix" sheetId="5" r:id="rId4"/>
    <sheet name="_EvidenceTypeLists" sheetId="2" state="hidden" r:id="rId5"/>
  </sheets>
  <definedNames>
    <definedName name="EvidenceStatusList">_EvidenceTypeLists!$A$1:$A$11</definedName>
    <definedName name="ImpactScore">'Risk Matrix'!$E$3:$E$7</definedName>
    <definedName name="LikelihoodScore">'Risk Matrix'!$A$3:$A$7</definedName>
    <definedName name="MaturityLevel">'Maturity Scale'!$B$1:$B$5</definedName>
    <definedName name="MaturityScore">'Maturity Scale'!$A$1:$A$5</definedName>
    <definedName name="RiskScore">'Risk Matrix'!$A$11:$A$14</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 i="1" l="1" a="1"/>
  <c r="W4" i="1"/>
  <c r="W5" i="1" a="1"/>
  <c r="W5" i="1"/>
  <c r="W6" i="1" a="1"/>
  <c r="W6" i="1"/>
  <c r="W7" i="1" a="1"/>
  <c r="W7" i="1"/>
  <c r="W8" i="1" a="1"/>
  <c r="W8" i="1"/>
  <c r="W9" i="1" a="1"/>
  <c r="W9" i="1"/>
  <c r="W10" i="1" a="1"/>
  <c r="W10" i="1"/>
  <c r="W11" i="1" a="1"/>
  <c r="W11" i="1"/>
  <c r="W12" i="1" a="1"/>
  <c r="W12" i="1"/>
  <c r="W13" i="1" a="1"/>
  <c r="W13" i="1"/>
  <c r="W14" i="1" a="1"/>
  <c r="W14" i="1"/>
  <c r="W15" i="1" a="1"/>
  <c r="W15" i="1"/>
  <c r="W16" i="1" a="1"/>
  <c r="W16" i="1"/>
  <c r="W17" i="1" a="1"/>
  <c r="W17" i="1"/>
  <c r="W18" i="1" a="1"/>
  <c r="W18" i="1"/>
  <c r="W19" i="1" a="1"/>
  <c r="W19" i="1"/>
  <c r="W20" i="1" a="1"/>
  <c r="W20" i="1"/>
  <c r="W21" i="1" a="1"/>
  <c r="W21" i="1"/>
  <c r="W22" i="1" a="1"/>
  <c r="W22" i="1"/>
  <c r="W23" i="1" a="1"/>
  <c r="W23" i="1"/>
  <c r="W24" i="1" a="1"/>
  <c r="W24" i="1"/>
  <c r="W25" i="1" a="1"/>
  <c r="W25" i="1"/>
  <c r="W26" i="1" a="1"/>
  <c r="W26" i="1"/>
  <c r="W27" i="1" a="1"/>
  <c r="W27" i="1"/>
  <c r="W28" i="1" a="1"/>
  <c r="W28" i="1"/>
  <c r="W29" i="1" a="1"/>
  <c r="W29" i="1"/>
  <c r="W30" i="1" a="1"/>
  <c r="W30" i="1"/>
  <c r="W31" i="1" a="1"/>
  <c r="W31" i="1"/>
  <c r="W32" i="1" a="1"/>
  <c r="W32" i="1"/>
  <c r="W33" i="1" a="1"/>
  <c r="W33" i="1"/>
  <c r="W34" i="1" a="1"/>
  <c r="W34" i="1"/>
  <c r="W35" i="1" a="1"/>
  <c r="W35" i="1"/>
  <c r="W36" i="1" a="1"/>
  <c r="W36" i="1"/>
  <c r="W37" i="1" a="1"/>
  <c r="W37" i="1"/>
  <c r="W38" i="1" a="1"/>
  <c r="W38" i="1"/>
  <c r="W39" i="1" a="1"/>
  <c r="W39" i="1"/>
  <c r="W40" i="1" a="1"/>
  <c r="W40" i="1"/>
  <c r="W41" i="1" a="1"/>
  <c r="W41" i="1"/>
  <c r="W42" i="1" a="1"/>
  <c r="W42" i="1"/>
  <c r="W43" i="1" a="1"/>
  <c r="W43" i="1"/>
  <c r="W44" i="1" a="1"/>
  <c r="W44" i="1"/>
  <c r="W45" i="1" a="1"/>
  <c r="W45" i="1"/>
  <c r="W46" i="1" a="1"/>
  <c r="W46" i="1"/>
  <c r="W47" i="1" a="1"/>
  <c r="W47" i="1"/>
  <c r="W48" i="1" a="1"/>
  <c r="W48" i="1"/>
  <c r="W49" i="1" a="1"/>
  <c r="W49" i="1"/>
  <c r="W50" i="1" a="1"/>
  <c r="W50" i="1"/>
  <c r="W51" i="1" a="1"/>
  <c r="W51" i="1"/>
  <c r="W52" i="1" a="1"/>
  <c r="W52" i="1"/>
  <c r="W53" i="1" a="1"/>
  <c r="W53" i="1"/>
  <c r="W54" i="1" a="1"/>
  <c r="W54" i="1"/>
  <c r="W55" i="1" a="1"/>
  <c r="W55" i="1"/>
  <c r="W56" i="1" a="1"/>
  <c r="W56" i="1"/>
  <c r="W57" i="1" a="1"/>
  <c r="W57" i="1"/>
  <c r="W58" i="1" a="1"/>
  <c r="W58" i="1"/>
  <c r="W59" i="1" a="1"/>
  <c r="W59" i="1"/>
  <c r="W60" i="1" a="1"/>
  <c r="W60" i="1"/>
  <c r="W61" i="1" a="1"/>
  <c r="W61" i="1"/>
  <c r="W62" i="1" a="1"/>
  <c r="W62" i="1"/>
  <c r="W63" i="1" a="1"/>
  <c r="W63" i="1"/>
  <c r="W64" i="1" a="1"/>
  <c r="W64" i="1"/>
  <c r="W65" i="1" a="1"/>
  <c r="W65" i="1"/>
  <c r="W66" i="1" a="1"/>
  <c r="W66" i="1"/>
  <c r="W67" i="1" a="1"/>
  <c r="W67" i="1"/>
  <c r="W68" i="1" a="1"/>
  <c r="W68" i="1"/>
  <c r="W69" i="1" a="1"/>
  <c r="W69" i="1"/>
  <c r="W70" i="1" a="1"/>
  <c r="W70" i="1"/>
  <c r="W71" i="1" a="1"/>
  <c r="W71" i="1"/>
  <c r="W72" i="1" a="1"/>
  <c r="W72" i="1"/>
  <c r="W73" i="1" a="1"/>
  <c r="W73" i="1"/>
  <c r="W74" i="1" a="1"/>
  <c r="W74" i="1"/>
  <c r="W75" i="1" a="1"/>
  <c r="W75" i="1"/>
  <c r="W76" i="1" a="1"/>
  <c r="W76" i="1"/>
  <c r="W77" i="1" a="1"/>
  <c r="W77" i="1"/>
  <c r="W78" i="1" a="1"/>
  <c r="W78" i="1"/>
  <c r="W79" i="1" a="1"/>
  <c r="W79" i="1"/>
  <c r="W80" i="1" a="1"/>
  <c r="W80" i="1"/>
  <c r="W81" i="1" a="1"/>
  <c r="W81" i="1"/>
  <c r="W82" i="1" a="1"/>
  <c r="W82" i="1"/>
  <c r="W83" i="1" a="1"/>
  <c r="W83" i="1"/>
  <c r="W84" i="1" a="1"/>
  <c r="W84" i="1"/>
  <c r="W85" i="1" a="1"/>
  <c r="W85" i="1"/>
  <c r="W86" i="1" a="1"/>
  <c r="W86" i="1"/>
  <c r="W87" i="1" a="1"/>
  <c r="W87" i="1"/>
  <c r="W88" i="1" a="1"/>
  <c r="W88" i="1"/>
  <c r="W89" i="1" a="1"/>
  <c r="W89" i="1"/>
  <c r="W90" i="1" a="1"/>
  <c r="W90" i="1"/>
  <c r="W91" i="1" a="1"/>
  <c r="W91" i="1"/>
  <c r="W92" i="1" a="1"/>
  <c r="W92" i="1"/>
  <c r="W93" i="1" a="1"/>
  <c r="W93" i="1"/>
  <c r="W94" i="1" a="1"/>
  <c r="W94" i="1"/>
  <c r="W95" i="1" a="1"/>
  <c r="W95" i="1"/>
  <c r="W96" i="1" a="1"/>
  <c r="W96" i="1"/>
  <c r="W97" i="1" a="1"/>
  <c r="W97" i="1"/>
  <c r="W98" i="1" a="1"/>
  <c r="W98" i="1"/>
  <c r="W99" i="1" a="1"/>
  <c r="W99" i="1"/>
  <c r="W100" i="1" a="1"/>
  <c r="W100" i="1"/>
  <c r="W101" i="1" a="1"/>
  <c r="W101" i="1"/>
  <c r="W102" i="1" a="1"/>
  <c r="W102" i="1"/>
  <c r="W103" i="1" a="1"/>
  <c r="W103" i="1"/>
  <c r="W104" i="1" a="1"/>
  <c r="W104" i="1"/>
  <c r="W105" i="1" a="1"/>
  <c r="W105" i="1"/>
  <c r="W106" i="1" a="1"/>
  <c r="W106" i="1"/>
  <c r="W107" i="1" a="1"/>
  <c r="W107" i="1"/>
  <c r="W108" i="1" a="1"/>
  <c r="W108" i="1"/>
  <c r="W3" i="1" a="1"/>
  <c r="W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3" i="1"/>
  <c r="O21" i="1"/>
  <c r="L23" i="1"/>
  <c r="N23" i="1"/>
  <c r="L22" i="1"/>
  <c r="N22" i="1"/>
  <c r="O8" i="1"/>
  <c r="O7" i="1"/>
  <c r="O4" i="1"/>
  <c r="O5" i="1"/>
  <c r="O6" i="1"/>
  <c r="O9" i="1"/>
  <c r="O10" i="1"/>
  <c r="O11" i="1"/>
  <c r="O12" i="1"/>
  <c r="O13" i="1"/>
  <c r="O14" i="1"/>
  <c r="O15" i="1"/>
  <c r="O16" i="1"/>
  <c r="O17" i="1"/>
  <c r="O18" i="1"/>
  <c r="O19" i="1"/>
  <c r="O20"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3" i="1"/>
  <c r="N9" i="1"/>
  <c r="N10" i="1"/>
  <c r="N11" i="1"/>
  <c r="N12" i="1"/>
  <c r="N13" i="1"/>
  <c r="N14" i="1"/>
  <c r="N15" i="1"/>
  <c r="N16" i="1"/>
  <c r="N17" i="1"/>
  <c r="N18" i="1"/>
  <c r="N19" i="1"/>
  <c r="N20" i="1"/>
  <c r="N21"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L9" i="1"/>
  <c r="L10" i="1"/>
  <c r="L11" i="1"/>
  <c r="L12" i="1"/>
  <c r="L13" i="1"/>
  <c r="L14" i="1"/>
  <c r="L15" i="1"/>
  <c r="L16" i="1"/>
  <c r="L17" i="1"/>
  <c r="L18" i="1"/>
  <c r="L19" i="1"/>
  <c r="L20" i="1"/>
  <c r="L21"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N8" i="1"/>
  <c r="L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<sst xmlns="http://schemas.openxmlformats.org/spreadsheetml/2006/main" count="938" uniqueCount="618">
  <si>
    <t>Function</t>
  </si>
  <si>
    <t>Category</t>
  </si>
  <si>
    <t>Subcategory</t>
  </si>
  <si>
    <t>Subcategory description</t>
  </si>
  <si>
    <t>Evidence should fulfill following requirements</t>
  </si>
  <si>
    <t>Required Evidence</t>
  </si>
  <si>
    <t>Owner</t>
  </si>
  <si>
    <t>Evidence Status</t>
  </si>
  <si>
    <t>Evidence Type(s)</t>
  </si>
  <si>
    <t>Owner's Remarks</t>
  </si>
  <si>
    <t>Current Maturity Level</t>
  </si>
  <si>
    <t>Current Maturity Score</t>
  </si>
  <si>
    <t>Target Maturity Level</t>
  </si>
  <si>
    <t>Target Maturity Score</t>
  </si>
  <si>
    <t>GOVERN (GV)</t>
  </si>
  <si>
    <t>Organizational Context (GV.OC)</t>
  </si>
  <si>
    <t>GV.OC-01</t>
  </si>
  <si>
    <t>The organizational mission is understood and informs cyberSecurity risk management</t>
  </si>
  <si>
    <t>Ex1: Share the organization's mission (e.g., through vision and mission statements, marketing, and service strategies) to provide a basis for identifying risks that may impede that mission</t>
  </si>
  <si>
    <t>Mission Statement/Mission Document</t>
  </si>
  <si>
    <t>CISO</t>
  </si>
  <si>
    <t>GV.OC-02</t>
  </si>
  <si>
    <t>Internal and external stakeholders are understood, and their needs and expectations regarding cyberSecurity risk management are understood and considered</t>
  </si>
  <si>
    <t>Ex1: Identify relevant internal stakeholders and their cyberSecurity-related expectations (e.g., performance and risk expectations of officers, directors, and advisors; cultural expectations of employees)
Ex2: Identify relevant external stakeholders and their cyberSecurity-related expectations (e.g., privacy expectations of customers, business expectations of partnerships, compliance expectations of regulators, ethics expectations of society)</t>
  </si>
  <si>
    <t>Stakeholder Register along with their expectations of internal and external stakeholders</t>
  </si>
  <si>
    <t>GV.OC-03</t>
  </si>
  <si>
    <t>Legal, regulatory, and contractual requirements regarding cyberSecurity - including privacy and civil liberties obligations - are understood and managed</t>
  </si>
  <si>
    <t>Ex1: Determine a process to track and manage legal and regulatory requirements regarding protection of individuals' information (e.g., Health Insurance Portability and Accountability Act, California Consumer Privacy Act, General Data Protection Regulation)
Ex2: Determine a process to track and manage contractual requirements for cyberSecurity management of supplier, customer, and partner information
Ex3: Align the organization's cyberSecurity strategy with legal, regulatory, and contractual requirements</t>
  </si>
  <si>
    <t>1. Legal, regulatory and contractual requirements register/matrix covering applicable requirements for India, UAE and Singapore.
2. Process/methodology for identifying, assessing, tracking and updating applicable requirements.
3. Sample evidence showing how significant requirements are communicated and incorporated into cyberSecurity practices.</t>
  </si>
  <si>
    <t>Legal &amp; Compliance</t>
  </si>
  <si>
    <t>GV.OC-04</t>
  </si>
  <si>
    <t>Critical objectives, capabilities, and services that external stakeholders depend on or expect from the organization are understood and communicated</t>
  </si>
  <si>
    <t>Ex1: Establish criteria for determining the criticality of capabilities and services as viewed by internal and external stakeholders
Ex2: Determine (e.g., from a business impact analysis) assets and business operations that are vital to achieving mission objectives and the potential impact of a loss (or partial loss) of such operations
Ex3: Establish and communicate resilience objectives (e.g., recovery time objectives) for delivering critical capabilities and services in various operating states (e.g., under attack, during recovery, normal operation)</t>
  </si>
  <si>
    <t>Key Critical Services for external stakeholder:
-Policy/Criteria to determine Key Critical Services, 
-List of critical objectives, capabilities and services, including relevant assets and stakeholder dependencies, with applicable SLA/RTO requirements.
-Communication evidence</t>
  </si>
  <si>
    <t>IT operations</t>
  </si>
  <si>
    <t>GV.OC-05</t>
  </si>
  <si>
    <t>Outcomes, capabilities, and services that the organization depends on are understood and communicated</t>
  </si>
  <si>
    <t>Ex1: Create an inventory of the organization's dependencies on external resources (e.g., facilities, cloud-based hosting providers) and their relationships to organizational assets and business functions
Ex2: Identify and document external dependencies that are potential points of failure for the organization's critical capabilities and services, and share that information with appropriate personnel</t>
  </si>
  <si>
    <t>1. Dependency inventory/mapping showing critical services, business functions and their dependencies on external/internal resources.
2. Identification/classification of critical dependencies and potential points of failure.
3. Relevant SLA/RTO/dependency requirements.
4. Evidence that dependency information is communicated to relevant personnel.</t>
  </si>
  <si>
    <t>Risk Management Strategy (GV.RM)</t>
  </si>
  <si>
    <t>GV.RM-01</t>
  </si>
  <si>
    <t>Risk management objectives are established and agreed to by organizational stakeholders</t>
  </si>
  <si>
    <t>Ex1: Update near-term and long-term cyberSecurity risk management objectives as part of annual strategic planning and when major changes occur
Ex2: Establish measurable objectives for cyberSecurity risk management (e.g., manage the quality of user training, ensure adequate risk protection for industrial control systems)
Ex3: Senior leaders agree about cyberSecurity objectives and use them for measuring and managing risk and performance</t>
  </si>
  <si>
    <t>Risk Management Policy defining measurable risk management objectives with evidence of management approval/endorsement</t>
  </si>
  <si>
    <t>GV.RM-02</t>
  </si>
  <si>
    <t>Risk appetite and risk tolerance statements are established, communicated, and maintained</t>
  </si>
  <si>
    <t>Ex1: Determine and communicate risk appetite statements that convey expectations about the appropriate level of risk for the organization
Ex2: Translate risk appetite statements into specific, measurable, and broadly understandable risk tolerance statements
Ex3: Refine organizational objectives and risk appetite periodically based on known risk exposure and residual risk</t>
  </si>
  <si>
    <t>1. Risk Management Policy defining risk tolerance and risk appetite statements
2. Evidence of Communication
3. Evidence of periodic review/versions</t>
  </si>
  <si>
    <t>GV.RM-03</t>
  </si>
  <si>
    <t>CyberSecurity risk management activities and outcomes are included in enterprise risk management processes</t>
  </si>
  <si>
    <t>Ex1: Aggregate and manage cyberSecurity risks alongside other enterprise risks (e.g., compliance, financial, operational, regulatory, reputational, safety)
Ex2: Include cyberSecurity risk managers in enterprise risk management planning
Ex3: Establish criteria for escalating cyberSecurity risks within enterprise risk management</t>
  </si>
  <si>
    <t>1. Policy showing integration of cberSecurity risk management with enterprise risk management.
2.Inclusion of cyber risk in enterprise risk Register
3. Escalation matrix leading cyber risk to enterprise channel</t>
  </si>
  <si>
    <t>GV.RM-04</t>
  </si>
  <si>
    <t>Strategic direction that describes appropriate risk response options is established and communicated</t>
  </si>
  <si>
    <t>Ex1: Specify criteria for accepting and avoiding cyberSecurity risk for various classifications of data
Ex2: Determine whether to purchase cyberSecurity insurance
Ex3: Document conditions under which shared responsibility models are acceptable (e.g., outsourcing certain cyberSecurity functions, having a third party perform financial transactions on behalf of the organization, using public cloud-based services)</t>
  </si>
  <si>
    <t>Risk Management Policy showing risk response criteria + communication</t>
  </si>
  <si>
    <t>GV.RM-05</t>
  </si>
  <si>
    <t>Lines of communication across the organization are established for cyberSecurity risks, including risks from suppliers and other third parties</t>
  </si>
  <si>
    <t>Ex1: Determine how to update senior executives, directors, and management on the organization's cyberSecurity posture at agreed-upon intervals
Ex2: Identify how all departments across the organization - such as management, operations, internal auditors, legal, acquisition, physical Security, and HR - will communicate with each other about cyberSecurity risks</t>
  </si>
  <si>
    <t>Template/Policy depicting communication channel among different department of the organization and with Third parties
Sample of cyber Security risk reporting between departments/third parties</t>
  </si>
  <si>
    <t>GV.RM-06</t>
  </si>
  <si>
    <t>A standardized method for calculating, documenting, categorizing, and prioritizing cyberSecurity risks is established and communicated</t>
  </si>
  <si>
    <t>Ex1: Establish criteria for using a quantitative approach to cyberSecurity risk analysis, and specify probability and exposure formulas
Ex2: Create and use templates (e.g., a risk register) to document cyberSecurity risk information (e.g., risk description, exposure, treatment, and ownership)
Ex3: Establish criteria for risk prioritization at the appropriate levels within the enterprise
Ex4: Use a consistent list of risk categories to support integrating, aggregating, and comparing cyberSecurity risks</t>
  </si>
  <si>
    <t>1. Risk Management Policy defing Risk Matrix/Risk Classification Criteria 
2. Evidence of communication
3. Sample to depict actual implementation as per policy/criteria</t>
  </si>
  <si>
    <t>GV.RM-07</t>
  </si>
  <si>
    <t>Strategic opportunities (i.e., positive risks) are characterized and are included in organizational cyberSecurity risk discussions</t>
  </si>
  <si>
    <t>Ex1: Define and communicate guidance and methods for identifying opportunities and including them in risk discussions (e.g., strengths, weaknesses, opportunities, and threats [SWOT] analysis)
Ex2: Identify stretch goals and document them
Ex3: Calculate, document, and prioritize positive risks alongside negative risks</t>
  </si>
  <si>
    <t>Risk Management Policy depicting process to deal with identified opportunities to improve.
Evidence showing mechanism to deal with opportunities.</t>
  </si>
  <si>
    <t>Roles, Responsibilities, and Authorities (GV.RR)</t>
  </si>
  <si>
    <t>GV.RR-01</t>
  </si>
  <si>
    <t>Organizational leadership is responsible and accountable for cyberSecurity risk and fosters a culture that is risk-aware, ethical, and continually improving</t>
  </si>
  <si>
    <t>Ex1: Leaders (e.g., directors) agree on their roles and responsibilities in developing, implementing, and assessing the organization's cyberSecurity strategy
Ex2: Share leaders' expectations regarding a secure and ethical culture, especially when current events present the opportunity to highlight positive or negative examples of cyberSecurity risk management
Ex3: Leaders direct the CISO to maintain a comprehensive cyberSecurity risk strategy and review and update it at least annually and after major events
Ex4: Conduct reviews to ensure adequate authority and coordination among those responsible for managing cyberSecurity risk</t>
  </si>
  <si>
    <t xml:space="preserve">Evidences showing leadership endorsement 
Sample of leadership endorsement
Roles &amp; Responsibilities should be defined in Information Security Policy
</t>
  </si>
  <si>
    <t>GV.RR-02</t>
  </si>
  <si>
    <t>Roles, responsibilities, and authorities related to cyberSecurity risk management are established, communicated, understood, and enforced</t>
  </si>
  <si>
    <t>Ex1: Document risk management roles and responsibilities in policy
Ex2: Document who is responsible and accountable for cyberSecurity risk management activities and how those teams and individuals are to be consulted and informed
Ex3: Include cyberSecurity responsibilities and performance requirements in personnel descriptions
Ex4: Document performance goals for personnel with cyberSecurity risk management responsibilities, and periodically measure performance to identify areas for improvement
Ex5: Clearly articulate cyberSecurity responsibilities within operations, risk functions, and internal audit functions</t>
  </si>
  <si>
    <t>1. Information Security policy where cyberSecurity roles and responsibilities are defined
2. Evidence of communication</t>
  </si>
  <si>
    <t>GV.RR-03</t>
  </si>
  <si>
    <t>Adequate resources are allocated commensurate with the cyberSecurity risk strategy, roles, responsibilities, and policies</t>
  </si>
  <si>
    <t>Ex1: Conduct periodic management reviews to ensure that those given cyberSecurity risk management responsibilities have the necessary authority
Ex2: Identify resource allocation and investment in line with risk tolerance and response
Ex3: Provide adequate and sufficient people, process, and technical resources to support the cyberSecurity strategy</t>
  </si>
  <si>
    <t>1. CyberSecurity resource/budget plan or equivalent resource allocation evidence.
2. CyberSecurity staffing/resource allocation information.
3. Evidence of management review/approval of cyberSecurity resource requirements, where applicable.</t>
  </si>
  <si>
    <t>GV.RR-04</t>
  </si>
  <si>
    <t>CyberSecurity is included in human resources practices</t>
  </si>
  <si>
    <t>Ex1: Integrate cyberSecurity risk management considerations into human resources processes (e.g., personnel screening, onboarding, change notification, offboarding)
Ex2: Consider cyberSecurity knowledge to be a positive factor in hiring, training, and retention decisions
Ex3: Conduct background checks prior to onboarding new personnel for sensitive roles, and periodically repeat background checks for personnel with such roles
Ex4: Define and enforce obligations for personnel to be aware of, adhere to, and uphold Security policies as they relate to their roles</t>
  </si>
  <si>
    <t xml:space="preserve">HR- onboarding/offboarding and other policies depicting inclusion of cyberSecurity in practices
Monitoring process and evidence </t>
  </si>
  <si>
    <t>HR</t>
  </si>
  <si>
    <t>Policy (GV.PO)</t>
  </si>
  <si>
    <t>GV.PO-01</t>
  </si>
  <si>
    <t>Policy for managing cyberSecurity risks is established based on organizational context, cyberSecurity strategy, and priorities and is communicated and enforced</t>
  </si>
  <si>
    <t>Ex1: Create, disseminate, and maintain an understandable, usable risk management policy with statements of management intent, expectations, and direction
Ex2: Periodically review policy and supporting processes and procedures to ensure that they align with risk management strategy objectives and priorities, as well as the high-level direction of the cyberSecurity policy
Ex3: Require approval from senior management on policy
Ex4: Communicate cyberSecurity risk management policy and supporting processes and procedures across the organization
Ex5: Require personnel to acknowledge receipt of policy when first hired, annually, and whenever policy is updated</t>
  </si>
  <si>
    <t>1. Risk Management Policy 
2. Evidence of communication and approval</t>
  </si>
  <si>
    <t>GV.PO-02</t>
  </si>
  <si>
    <t>Policy for managing cyberSecurity risks is reviewed, updated, communicated, and enforced to reflect changes in requirements, threats, technology, and organizational mission</t>
  </si>
  <si>
    <t>Ex1: Update policy based on periodic reviews of cyberSecurity risk management results to ensure that policy and supporting processes and procedures adequately maintain risk at an acceptable level
Ex2: Provide a timeline for reviewing changes to the organization's risk environment (e.g., changes in risk or in the organization's mission objectives), and communicate recommended policy updates
Ex3: Update policy to reflect changes in legal and regulatory requirements
Ex4: Update policy to reflect changes in technology (e.g., adoption of artificial intelligence) and changes to the business (e.g., acquisition of a new business, new contract requirements)</t>
  </si>
  <si>
    <t>Risk Management policy versions and process to manage change/update in policy</t>
  </si>
  <si>
    <t>Oversight (GV.OV)</t>
  </si>
  <si>
    <t>GV.OV-01</t>
  </si>
  <si>
    <t>CyberSecurity risk management strategy outcomes are reviewed to inform and adjust strategy and direction</t>
  </si>
  <si>
    <t>Ex1: Measure how well the risk management strategy and risk results have helped leaders make decisions and achieve organizational objectives
Ex2: Examine whether cyberSecurity risk strategies that impede operations or innovation should be adjusted</t>
  </si>
  <si>
    <t>1. Records/minutes/reports of periodic cyberSecurity risk management strategy reviews.
2. Evidence of management/leadership review of cyberSecurity risk posture and strategy.
3. Resulting decisions, actions or strategy updates, where applicable.</t>
  </si>
  <si>
    <t>GV.OV-02</t>
  </si>
  <si>
    <t>The cyberSecurity risk management strategy is reviewed and adjusted to ensure coverage of organizational requirements and risks</t>
  </si>
  <si>
    <t>Ex1: Review audit findings to confirm whether the existing cyberSecurity strategy has ensured compliance with internal and external requirements
Ex2: Review the performance oversight of those in cyberSecurity-related roles to determine whether policy changes are necessary
Ex3: Review strategy in light of cyberSecurity incidents</t>
  </si>
  <si>
    <t>1. Reports/results of periodic reviews, audits or assessments evaluating whether the cyberSecurity risk management strategy addresses organizational requirements and risks.
2. Evidence of actions or changes to the cyberSecurity risk management strategy resulting from identified findings, where applicable.</t>
  </si>
  <si>
    <t>GV.OV-03</t>
  </si>
  <si>
    <t>Organizational cyberSecurity risk management performance is evaluated and reviewed for adjustments needed</t>
  </si>
  <si>
    <t>Ex1: Review key performance indicators (KPIs) to ensure that organization-wide policies and procedures achieve objectives
Ex2: Review key risk indicators (KRIs) to identify risks the organization faces, including likelihood and potential impact
Ex3: Collect and communicate metrics on cyberSecurity risk management with senior leadership</t>
  </si>
  <si>
    <t>1. CyberSecurity risk management performance metrics/KPIs or equivalent measures.
2. Periodic performance review records showing comparison of results over time.
3. Evidence of corrective/improvement actions resulting from performance reviews, where applicable.</t>
  </si>
  <si>
    <t>CyberSecurity Supply Chain Risk Management (GV.SC)</t>
  </si>
  <si>
    <t>GV.SC-01</t>
  </si>
  <si>
    <t>A cyberSecurity supply chain risk management program, strategy, objectives, policies, and processes are established and agreed to by organizational stakeholders</t>
  </si>
  <si>
    <t>Ex1: Establish a strategy that expresses the objectives of the cyberSecurity supply chain risk management program
Ex2: Develop the cyberSecurity supply chain risk management program, including a plan (with milestones), policies, and procedures that guide implementation and improvement of the program, and share the policies and procedures with the organizational stakeholders
Ex3: Develop and implement program processes based on the strategy, objectives, policies, and procedures that are agreed upon and performed by the organizational stakeholders
Ex4: Establish a cross-organizational mechanism that ensures alignment between functions that contribute to cyberSecurity supply chain risk management, such as cyberSecurity, IT, operations, legal, human resources, and engineering</t>
  </si>
  <si>
    <t xml:space="preserve">Supply Chain Risk Management Policy/TPRM policy
</t>
  </si>
  <si>
    <t>GV.SC-02</t>
  </si>
  <si>
    <t>CyberSecurity roles and responsibilities for suppliers, customers, and partners are established, communicated, and coordinated internally and externally</t>
  </si>
  <si>
    <t>Ex1: Identify one or more specific roles or positions that will be responsible and accountable for planning, resourcing, and executing cyberSecurity supply chain risk management activities
Ex2: Document cyberSecurity supply chain risk management roles and responsibilities in policy
Ex3: Create responsibility matrixes to document who will be responsible and accountable for cyberSecurity supply chain risk management activities and how those teams and individuals will be consulted and informed
Ex4: Include cyberSecurity supply chain risk management responsibilities and performance requirements in personnel descriptions to ensure clarity and improve accountability
Ex5: Document performance goals for personnel with cyberSecurity risk management-specific responsibilities, and periodically measure them to demonstrate and improve performance
Ex6: Develop roles and responsibilities for suppliers, customers, and business partners to address shared responsibilities for applicable cyberSecurity risks, and integrate them into organizational policies and applicable third-party agreements
Ex7: Internally communicate cyberSecurity supply chain risk management roles and responsibilities for third parties
Ex8: Establish rules and protocols for information sharing and reporting processes between the organization and its suppliers</t>
  </si>
  <si>
    <t xml:space="preserve">Supply Chain Risk Management Policy/TPRM policy depicting the roles and responsibilities for Suppliers, Customers &amp; Partners
</t>
  </si>
  <si>
    <t>GV.SC-03</t>
  </si>
  <si>
    <t>CyberSecurity supply chain risk management is integrated into cyberSecurity and enterprise risk management, risk assessment, and improvement processes</t>
  </si>
  <si>
    <t>Ex1: Identify areas of alignment and overlap with cyberSecurity and enterprise risk management
Ex2: Establish integrated control sets for cyberSecurity risk management and cyberSecurity supply chain risk management
Ex3: Integrate cyberSecurity supply chain risk management into improvement processes
Ex4: Escalate material cyberSecurity risks in supply chains to senior management, and address them at the enterprise risk management level</t>
  </si>
  <si>
    <t>CyberSecurity and enterprise risk register contains risk related to supply chain</t>
  </si>
  <si>
    <t>GV.SC-04</t>
  </si>
  <si>
    <t>Suppliers are known and prioritized by criticality</t>
  </si>
  <si>
    <t>Ex1: Develop criteria for supplier criticality based on, for example, the sensitivity of data processed or possessed by suppliers, the degree of access to the organization's systems, and the importance of the products or services to the organization's mission
Ex2: Keep a record of all suppliers, and prioritize suppliers based on the criticality criteria</t>
  </si>
  <si>
    <t xml:space="preserve">1. Supplier classification policy/criteria
2. Supplier List by Criticality </t>
  </si>
  <si>
    <t>Procurement</t>
  </si>
  <si>
    <t>GV.SC-05</t>
  </si>
  <si>
    <t>Requirements to address cyberSecurity risks in supply chains are established, prioritized, and integrated into contracts and other types of agreements with suppliers and other relevant third parties</t>
  </si>
  <si>
    <t>Ex1: Establish Security requirements for suppliers, products, and services commensurate with their criticality level and potential impact if compromised
Ex2: Include all cyberSecurity and supply chain requirements that third parties must follow and how compliance with the requirements may be verified in default contractual language
Ex3: Define the rules and protocols for information sharing between the organization and its suppliers and sub-tier suppliers in agreements
Ex4: Manage risk by including Security requirements in agreements based on their criticality and potential impact if compromised
Ex5: Define Security requirements in service-level agreements (SLAs) for monitoring suppliers for acceptable Security performance throughout the supplier relationship lifecycle
Ex6: Contractually require suppliers to disclose cyberSecurity features, functions, and vulnerabilities of their products and services for the life of the product or the term of service
Ex7: Contractually require suppliers to provide and maintain a current component inventory (e.g., software or hardware bill of materials) for critical products
Ex8: Contractually require suppliers to vet their employees and guard against insider threats
Ex9: Contractually require suppliers to provide evidence of performing acceptable Security practices through, for example, self-attestation, conformance to known standards, certifications, or inspections
Ex10: Specify in contracts and other agreements the rights and responsibilities of the organization, its suppliers, and their supply chains, with respect to potential cyberSecurity risks</t>
  </si>
  <si>
    <t>1. Due diligence questionnaire
2. Evidence of contracts/agreements showing the integration of cyberSecurity risk.</t>
  </si>
  <si>
    <t>GV.SC-06</t>
  </si>
  <si>
    <t>Planning and due diligence are performed to reduce risks before entering into formal supplier or other third-party relationships</t>
  </si>
  <si>
    <t>Ex1: Perform thorough due diligence on prospective suppliers that is consistent with procurement planning and commensurate with the level of risk, criticality, and complexity of each supplier relationship
Ex2: Assess the suitability of the technology and cyberSecurity capabilities and the risk management practices of prospective suppliers
Ex3: Conduct supplier risk assessments against business and applicable cyberSecurity requirements
Ex4: Assess the authenticity, integrity, and Security of critical products prior to acquisition and use</t>
  </si>
  <si>
    <t>1. Due diligence questionnaire
2. Evidence of due diligence process</t>
  </si>
  <si>
    <t>GV.SC-07</t>
  </si>
  <si>
    <t>The risks posed by a supplier, their products and services, and other third parties are understood, recorded, prioritized, assessed, responded to, and monitored over the course of the relationship</t>
  </si>
  <si>
    <t>Ex1: Adjust assessment formats and frequencies based on the third party's reputation and the criticality of the products or services they provide
Ex2: Evaluate third parties' evidence of compliance with contractual cyberSecurity requirements, such as self-attestations, warranties, certifications, and other artifacts
Ex3: Monitor critical suppliers to ensure that they are fulfilling their Security obligations throughout the supplier relationship lifecycle using a variety of methods and techniques, such as inspections, audits, tests, or other forms of evaluation
Ex4: Monitor critical suppliers, services, and products for changes to their risk profiles, and reevaluate supplier criticality and risk impact accordingly
Ex5: Plan for unexpected supplier and supply chain-related interruptions to ensure business continuity</t>
  </si>
  <si>
    <t>TPRM Policy
Supplier assessments results and actions</t>
  </si>
  <si>
    <t>GV.SC-08</t>
  </si>
  <si>
    <t>Relevant suppliers and other third parties are included in incident planning, response, and recovery activities</t>
  </si>
  <si>
    <t>Ex1: Define and use rules and protocols for reporting incident response and recovery activities and the status between the organization and its suppliers
Ex2: Identify and document the roles and responsibilities of the organization and its suppliers for incident response
Ex3: Include critical suppliers in incident response exercises and simulations
Ex4: Define and coordinate crisis communication methods and protocols between the organization and its critical suppliers
Ex5: Conduct collaborative lessons learned sessions with critical suppliers</t>
  </si>
  <si>
    <t xml:space="preserve">Incident response/recovery plan/execution depicting the inclusion of relevant third parties 
</t>
  </si>
  <si>
    <t>Security</t>
  </si>
  <si>
    <t>GV.SC-09</t>
  </si>
  <si>
    <t>Supply chain Security practices are integrated into cyberSecurity and enterprise risk management programs, and their performance is monitored throughout the technology product and service life cycle</t>
  </si>
  <si>
    <t>Ex1: Policies and procedures require provenance records for all acquired technology products and services
Ex2: Periodically provide risk reporting to leaders about how acquired components are proven to be untampered and authentic
Ex3: Communicate regularly among cyberSecurity risk managers and operations personnel about the need to acquire software patches, updates, and upgrades only from authenticated and trustworthy software providers
Ex4: Review policies to ensure that they require approved supplier personnel to perform maintenance on supplier products
Ex5: Policies and procedure require checking upgrades to critical hardware for unauthorized changes</t>
  </si>
  <si>
    <t>1. Evidence showing supply-chain risk management performance is monitored throughout the technology/product/service lifecycle.
2. Supplier performance/Security review records.
3. Evidence of periodic review and improvement of supply-chain risk management activities.
4. Where applicable, evidence of supply-chain risk integration with enterprise risk management.</t>
  </si>
  <si>
    <t>GV.SC-10</t>
  </si>
  <si>
    <t>CyberSecurity supply chain risk management plans include provisions for activities that occur after the conclusion of a partnership or service agreement</t>
  </si>
  <si>
    <t>Ex1: Establish processes for terminating critical relationships under both normal and adverse circumstances
Ex2: Define and implement plans for component end-of-life maintenance support and obsolescence
Ex3: Verify that supplier access to organization resources is deactivated promptly when it is no longer needed
Ex4: Verify that assets containing the organization's data are returned or properly disposed of in a timely, controlled, and safe manner
Ex5: Develop and execute a plan for terminating or transitioning supplier relationships that takes supply chain Security risk and resiliency into account
Ex6: Mitigate risks to data and systems created by supplier termination
Ex7: Manage data leakage risks associated with supplier termination</t>
  </si>
  <si>
    <t>Supplyy chain risk management policy depicting the plan, criteria to terminate a contract and activities/roles-responsibilities done during or after the termination on contract.</t>
  </si>
  <si>
    <t>IDENTIFY (ID)</t>
  </si>
  <si>
    <t>Asset Management (ID.AM)</t>
  </si>
  <si>
    <t>ID.AM-01</t>
  </si>
  <si>
    <t>Inventories of hardware managed by the organization are maintained</t>
  </si>
  <si>
    <t>Ex1: Maintain inventories for all types of hardware, including IT, IoT, OT, and mobile devices
Ex2: Constantly monitor networks to detect new hardware and automatically update inventories</t>
  </si>
  <si>
    <t>1. Asset register with the list of all hadwares in the organization.
2. Evidence of asset register update</t>
  </si>
  <si>
    <t>ID.AM-02</t>
  </si>
  <si>
    <t>Inventories of software, services, and systems managed by the organization are maintained</t>
  </si>
  <si>
    <t>Ex1: Maintain inventories for all types of software and services, including commercial-off-the-shelf, open-source, custom applications, API services, and cloud-based applications and services
Ex2: Constantly monitor all platforms, including containers and virtual machines, for software and service inventory changes
Ex3: Maintain an inventory of the organization's systems</t>
  </si>
  <si>
    <t>1. Asset register with the list of all softwares/services in the organization.
2. Evidence of asset register update</t>
  </si>
  <si>
    <t>ID.AM-03</t>
  </si>
  <si>
    <t>Representations of the organization's authorized network communication and internal and external network data flows are maintained</t>
  </si>
  <si>
    <t>Ex1: Maintain baselines of communication and data flows within the organization's wired and wireless networks
Ex2: Maintain baselines of communication and data flows between the organization and third parties
Ex3: Maintain baselines of communication and data flows for the organization's infrastructure-as-a-service (IaaS) usage
Ex4: Maintain documentation of expected network ports, protocols, and services that are typically used among authorized systems</t>
  </si>
  <si>
    <t>Network data flow diagram</t>
  </si>
  <si>
    <t>ID.AM-04</t>
  </si>
  <si>
    <t>Inventories of services provided by suppliers are maintained</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</si>
  <si>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</si>
  <si>
    <t>Supplier list along with the services provided them</t>
  </si>
  <si>
    <t>ID.AM-05</t>
  </si>
  <si>
    <t>Assets are prioritized based on classification, criticality, resources, and impact on the mission</t>
  </si>
  <si>
    <t>Ex1: Define criteria for prioritizing each class of assets
Ex2: Apply the prioritization criteria to assets
Ex3: Track the asset priorities and update them periodically or when significant changes to the organization occur</t>
  </si>
  <si>
    <t>1. Asset Classification policy
2. List of key critical assets</t>
  </si>
  <si>
    <t>ID.AM-07</t>
  </si>
  <si>
    <t>Inventories of data and corresponding metadata for designated data types are maintained</t>
  </si>
  <si>
    <t>Ex1: Maintain a list of the designated data types of interest (e.g., personally identifiable information, protected health information, financial account numbers, organization intellectual property, operational technology data)
Ex2: Continuously discover and analyze ad hoc data to identify new instances of designated data types
Ex3: Assign data classifications to designated data types through tags or labels
Ex4: Track the provenance, data owner, and geolocation of each instance of designated data types</t>
  </si>
  <si>
    <t>Data inventory/register identifying designated data types, relevant systems/repositories, data classification/sensitivity and applicable data ownership.</t>
  </si>
  <si>
    <t>ID.AM-08</t>
  </si>
  <si>
    <t>Systems, hardware, software, services, and data are managed throughout their life cycles</t>
  </si>
  <si>
    <t>Ex1: Integrate cyberSecurity considerations throughout the life cycles of systems, hardware, software, and services
Ex2: Integrate cyberSecurity considerations into product life cycles
Ex3: Identify unofficial uses of technology to meet mission objectives (i.e., shadow IT)
Ex4: Periodically identify redundant systems, hardware, software, and services that unnecessarily increase the organization's attack surface
Ex5: Properly configure and secure systems, hardware, software, and services prior to their deployment in production
Ex6: Update inventories when systems, hardware, software, and services are moved or transferred within the organization
Ex7: Securely destroy stored data based on the organization's data retention policy using the prescribed destruction method, and keep and manage a record of the destructions
Ex8: Securely sanitize data storage when hardware is being retired, decommissioned, reassigned, or sent for repairs or replacement
Ex9: Offer methods for destroying paper, storage media, and other physical forms of data storage</t>
  </si>
  <si>
    <t>1. Asset/system/data lifecycle management policy or procedure covering acquisition, deployment, maintenance, modification and retirement/decommissioning.
2. Evidence of lifecycle management activities for representative assets/systems.</t>
  </si>
  <si>
    <t>Risk Assessment (ID.RA)</t>
  </si>
  <si>
    <t>ID.RA-01</t>
  </si>
  <si>
    <t>Vulnerabilities in assets are identified, validated, and recorded</t>
  </si>
  <si>
    <t>Ex1: Use vulnerability management technologies to identify unpatched and misconfigured software
Ex2: Assess network and system architectures for design and implementation weaknesses that affect cyberSecurity
Ex3: Review, analyze, or test organization-developed software to identify design, coding, and default configuration vulnerabilities
Ex4: Assess facilities that house critical computing assets for physical vulnerabilities and resilience issues
Ex5: Monitor sources of cyber threat intelligence for information on new vulnerabilities in products and services
Ex6: Review processes and procedures for weaknesses that could be exploited to affect cyberSecurity</t>
  </si>
  <si>
    <t xml:space="preserve">1. Vulnerability Identification Process
2. Vulnerability records
</t>
  </si>
  <si>
    <t>ID.RA-02</t>
  </si>
  <si>
    <t>Cyber threat intelligence is received from information sharing forums and sources</t>
  </si>
  <si>
    <t>Ex1: Configure cyberSecurity tools and technologies with detection or response capabilities to securely ingest cyber threat intelligence feeds
Ex2: Receive and review advisories from reputable third parties on current threat actors and their tactics, techniques, and procedures (TTPs)
Ex3: Monitor sources of cyber threat intelligence for information on the types of vulnerabilities that emerging technologies may have</t>
  </si>
  <si>
    <t>1. Channel to establish communicationto receive threat intelligence
2. Evidence of threat intelligence</t>
  </si>
  <si>
    <t>ID.RA-03</t>
  </si>
  <si>
    <t>Internal and external threats to the organization are identified and recorded</t>
  </si>
  <si>
    <t>Ex1: Use cyber threat intelligence to maintain awareness of the types of threat actors likely to target the organization and the TTPs they are likely to use
Ex2: Perform threat hunting to look for signs of threat actors within the environment
Ex3: Implement processes for identifying internal threat actors</t>
  </si>
  <si>
    <t>Threat identification methodology/process and representative threat assessments, threat scenarios or threat intelligence outputs used to identify relevant threats.</t>
  </si>
  <si>
    <t>ID.RA-04</t>
  </si>
  <si>
    <t>Potential impacts and likelihoods of threats exploiting vulnerabilities are identified and recorded</t>
  </si>
  <si>
    <t>Ex1: Business leaders and cyberSecurity risk management practitioners work together to estimate the likelihood and impact of risk scenarios and record them in risk registers
Ex2: Enumerate the potential business impacts of unauthorized access to the organization's communications, systems, and data processed in or by those systems
Ex3: Account for the potential impacts of cascading failures for systems of systems</t>
  </si>
  <si>
    <t>1. Process to calculate impact and likelihood of threats
2. Evidence impact and likelihood identification</t>
  </si>
  <si>
    <t>ID.RA-05</t>
  </si>
  <si>
    <t>Threats, vulnerabilities, likelihoods, and impacts are used to understand inherent risk and inform risk response prioritization</t>
  </si>
  <si>
    <t>Ex1: Develop threat models to better understand risks to the data and identify appropriate risk responses
Ex2: Prioritize cyberSecurity resource allocations and investments based on estimated likelihoods and impacts</t>
  </si>
  <si>
    <t xml:space="preserve">Risk Prioritization Matrix/Critria to calculate risk severity </t>
  </si>
  <si>
    <t>ID.RA-06</t>
  </si>
  <si>
    <t>Risk responses are chosen, prioritized, planned, tracked, and communicated</t>
  </si>
  <si>
    <t>Ex1: Apply the vulnerability management plan's criteria for deciding whether to accept, transfer, mitigate, or avoid risk
Ex2: Apply the vulnerability management plan's criteria for selecting compensating controls to mitigate risk
Ex3: Track the progress of risk response implementation (e.g., plan of action and milestones [POA&amp;M], risk register, risk detail report)
Ex4: Use risk assessment findings to inform risk response decisions and actions
Ex5: Communicate planned risk responses to affected stakeholders in priority order</t>
  </si>
  <si>
    <t>Evidence showing the risk response is chosen, prioritized, tracked and communicated</t>
  </si>
  <si>
    <t>ID.RA-07</t>
  </si>
  <si>
    <t>Changes and exceptions are managed, assessed for risk impact, recorded, and tracked</t>
  </si>
  <si>
    <t>Ex1: Implement and follow procedures for the formal documentation, review, testing, and approval of proposed changes and requested exceptions
Ex2: Document the possible risks of making or not making each proposed change, and provide guidance on rolling back changes
Ex3: Document the risks related to each requested exception and the plan for responding to those risks
Ex4: Periodically review risks that were accepted based upon planned future actions or milestones</t>
  </si>
  <si>
    <t>Process to assess risk related to exceptions and changes
Evidence showing risk impact assessment before change.</t>
  </si>
  <si>
    <t>ID.RA-08</t>
  </si>
  <si>
    <t>Processes for receiving, analyzing, and responding to vulnerability disclosures are established</t>
  </si>
  <si>
    <t>Ex1: Conduct vulnerability information sharing between the organization and its suppliers following the rules and protocols defined in contracts
Ex2: Assign responsibilities and verify the execution of procedures for processing, analyzing the impact of, and responding to cyberSecurity threat, vulnerability, or incident disclosures by suppliers, customers, partners, and government cyberSecurity organizations</t>
  </si>
  <si>
    <t>Process/Policy to receive communication regarding vulnerabilities discovered, analyzing and resonding to vulnerabilities.</t>
  </si>
  <si>
    <t>ID.RA-09</t>
  </si>
  <si>
    <t>The authenticity and integrity of hardware and software are assessed prior to acquisition and use</t>
  </si>
  <si>
    <t>Ex1: Assess the authenticity and cyberSecurity of critical technology products and services prior to acquisition and use</t>
  </si>
  <si>
    <t>1. Process/criteria for assessing the authenticity and integrity of hardware/software before acquisition and use.
2. Sample supplier/product assessment records demonstrating execution of the process.</t>
  </si>
  <si>
    <t>ID.RA-10</t>
  </si>
  <si>
    <t>Critical suppliers are assessed prior to acquisition</t>
  </si>
  <si>
    <t>Ex1: Conduct supplier risk assessments against business and applicable cyberSecurity requirements, including the supply chain</t>
  </si>
  <si>
    <t xml:space="preserve">1. Supply chain risk management policy
2. Identification and prioritization of suppliers
3. Evidence of supplier assessment before acquisition
</t>
  </si>
  <si>
    <t>Improvement (ID.IM)</t>
  </si>
  <si>
    <t>ID.IM-01</t>
  </si>
  <si>
    <t>Improvements are identified from evaluations</t>
  </si>
  <si>
    <t>Ex1: Perform self-assessments of critical services that take current threats and TTPs into consideration
Ex2: Invest in third-party assessments or independent audits of the effectiveness of the organization's cyberSecurity program to identify areas that need improvement
Ex3: Constantly evaluate compliance with selected cyberSecurity requirements through automated means</t>
  </si>
  <si>
    <t>Evidence of independent reviews and audits</t>
  </si>
  <si>
    <t>ID.IM-02</t>
  </si>
  <si>
    <t>Improvements are identified from Security tests and exercises, including those done in coordination with suppliers and relevant third parties</t>
  </si>
  <si>
    <t>Ex1: Identify improvements for future incident response activities based on findings from incident response assessments (e.g., tabletop exercises and simulations, tests, internal reviews, independent audits)
Ex2: Identify improvements for future business continuity, disaster recovery, and incident response activities based on exercises performed in coordination with critical service providers and product suppliers
Ex3: Involve internal stakeholders (e.g., senior executives, legal department, HR) in Security tests and exercises as appropriate
Ex4: Perform penetration testing to identify opportunities to improve the Security posture of selected high-risk systems as approved by leadership
Ex5: Exercise contingency plans for responding to and recovering from the discovery that products or services did not originate with the contracted supplier or partner or were altered before receipt
Ex6: Collect and analyze performance metrics using Security tools and services to inform improvements to the cyberSecurity program</t>
  </si>
  <si>
    <t>Evidence of independent reviews and audits in cordination with suppliers and third parties</t>
  </si>
  <si>
    <t>ID.IM-03</t>
  </si>
  <si>
    <t>Improvements are identified from execution of operational processes, procedures, and activities</t>
  </si>
  <si>
    <t>Ex1: Conduct collaborative lessons learned sessions with suppliers
Ex2: Annually review cyberSecurity policies, processes, and procedures to take lessons learned into account
Ex3: Use metrics to assess operational cyberSecurity performance over time</t>
  </si>
  <si>
    <t>Evidences of mock drill and simulation exercises to identify the gaps</t>
  </si>
  <si>
    <t>ID.IM-04</t>
  </si>
  <si>
    <t>Incident response plans and other cyberSecurity plans that affect operations are established, communicated, maintained, and improved</t>
  </si>
  <si>
    <t>Ex1: Establish contingency plans (e.g., incident response, business continuity, disaster recovery) for responding to and recovering from adverse events that can interfere with operations, expose confidential information, or otherwise endanger the organization's mission and viability
Ex2: Include contact and communication information, processes for handling common scenarios, and criteria for prioritization, escalation, and elevation in all contingency plans
Ex3: Create a vulnerability management plan to identify and assess all types of vulnerabilities and to prioritize, test, and implement risk responses
Ex4: Communicate cyberSecurity plans (including updates) to those responsible for carrying them out and to affected parties
Ex5: Review and update all cyberSecurity plans annually or when a need for significant improvements is identified</t>
  </si>
  <si>
    <t xml:space="preserve">Incident Response Paln and its reviews </t>
  </si>
  <si>
    <t>PROTECT (PR)</t>
  </si>
  <si>
    <t>Identity Management, Authentication, and Access Control (PR.AA)</t>
  </si>
  <si>
    <t>PR.AA-01</t>
  </si>
  <si>
    <t>Identities and credentials for authorized users, services, and hardware are managed by the organization</t>
  </si>
  <si>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</si>
  <si>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 xml:space="preserve">1. Access Management policy depicting authentication and authorization mechanism
2. Evidence of authntication, authorization and credential management
</t>
  </si>
  <si>
    <t>PR.AA-02</t>
  </si>
  <si>
    <t>Identities are proofed and bound to credentials based on the context of interactions</t>
  </si>
  <si>
    <t>Ex1: Verify a person's claimed identity at enrollment time using government-issued identity credentials (e.g., passport, visa, driver's license)
Ex2: Issue a different credential for each person (i.e., no credential sharing)</t>
  </si>
  <si>
    <t>1. Access control/authorization policy and procedures.
2. IAM/access-control configuration demonstrating enforcement of authorized access.
3. Representative access approval/authorization records, where applicable.</t>
  </si>
  <si>
    <t>PR.AA-03</t>
  </si>
  <si>
    <t>Users, services, and hardware are authenticated</t>
  </si>
  <si>
    <t>Ex1: Require multifactor authentication
Ex2: Enforce policies for the minimum strength of passwords, PINs, and similar authenticators
Ex3: Periodically reauthenticate users, services, and hardware based on risk (e.g., in zero trust architectures)
Ex4: Ensure that authorized personnel can access accounts essential for protecting safety under emergency conditions</t>
  </si>
  <si>
    <t>Evidences for authentication mechanism</t>
  </si>
  <si>
    <t>PR.AA-04</t>
  </si>
  <si>
    <t>Identity assertions are protected, conveyed, and verified</t>
  </si>
  <si>
    <t>Ex1: Protect identity assertions that are used to convey authentication and user information through single sign-on systems
Ex2: Protect identity assertions that are used to convey authentication and user information between federated systems
Ex3: Implement standards-based approaches for identity assertions in all contexts, and follow all guidance for the generation (e.g., data models, metadata), protection (e.g., digital signing, encryption), and verification (e.g., signature validation) of identity assertions</t>
  </si>
  <si>
    <t>1. Process/configuration for managing and validating identity assertions used for access decisions.
2. Relevant IAM/federation/authentication configuration or architecture evidence.
3. Representative evidence demonstrating verification of identity information before granting access, where applicable.</t>
  </si>
  <si>
    <t>PR.AA-05</t>
  </si>
  <si>
    <t>Access permissions, entitlements, and authorizations are defined in a policy, managed, enforced, and reviewed, and incorporate the principles of least privilege and separation of duties</t>
  </si>
  <si>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</si>
  <si>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Access Management Policy depicting the use of principle of least privileges and separation of duties
Evidence of periodic access review</t>
  </si>
  <si>
    <t>PR.AA-06</t>
  </si>
  <si>
    <t>Physical access to assets is managed, monitored, and enforced commensurate with risk</t>
  </si>
  <si>
    <t>Ex1: Use Security guards, Security cameras, locked entrances, alarm systems, and other physical controls to monitor facilities and restrict access
Ex2: Employ additional physical Security controls for areas that contain high-risk assets
Ex3: Escort guests, vendors, and other third parties within areas that contain business-critical assets</t>
  </si>
  <si>
    <t>Physical Security/access control policy and representative evidence of physical access controls and monitoring, where applicable.</t>
  </si>
  <si>
    <t>Awareness and Training (PR.AT)</t>
  </si>
  <si>
    <t>PR.AT-01</t>
  </si>
  <si>
    <t>Personnel are provided with awareness and training so that they possess the knowledge and skills to perform general tasks with cyberSecurity risks in mind</t>
  </si>
  <si>
    <t>Ex1: Provide basic cyberSecurity awareness and training to employees, contractors, partners, suppliers, and all other users of the organization's non-public resources
Ex2: Train personnel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t>
  </si>
  <si>
    <t>Awareness &amp; Training Policy, 
Inclusion of awareness &amp; training in KPIs</t>
  </si>
  <si>
    <t>PR.AT-02</t>
  </si>
  <si>
    <t>Individuals in specialized roles are provided with awareness and training so that they possess the knowledge and skills to perform relevant tasks with cyberSecurity risks in mind</t>
  </si>
  <si>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</si>
  <si>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Awareness &amp; Training Policy, 
Inclusion of role specific awareness &amp; training in KPIs
Sample role specific KPIs</t>
  </si>
  <si>
    <t>Data Security (PR.DS)</t>
  </si>
  <si>
    <t>PR.DS-01</t>
  </si>
  <si>
    <t>The confidentiality, integrity, and availability of data-at-rest are protected</t>
  </si>
  <si>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</si>
  <si>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Data Classification policy, showing when to apply encryption and other technical controls for data at rest.
Representative technical/configuration evidence demonstrating implementation of applicable protection mechanisms.</t>
  </si>
  <si>
    <t>PR.DS-02</t>
  </si>
  <si>
    <t>The confidentiality, integrity, and availability of data-in-transit are protected</t>
  </si>
  <si>
    <t>Ex1: Use encryption, digital signatures, and cryptographic hashes to protect the confidentiality and integrity of network communications
Ex2: Automatically encrypt or block outbound emails and other communications that contain sensitive data, depending on the data classification
Ex3: Block access to personal email, file sharing, file storage services, and other personal communications applications and services from organizational systems and networks
Ex4: Prevent reuse of sensitive data from production environments (e.g., customer records) in development, testing, and other non-production environments</t>
  </si>
  <si>
    <t>Data Classification policy, showing when to apply encryption and other technical controls for data in transit
Representative technical/configuration evidence demonstrating implementation of applicable protection mechanisms.</t>
  </si>
  <si>
    <t>PR.DS-10</t>
  </si>
  <si>
    <t>The confidentiality, integrity, and availability of data-in-use are protected</t>
  </si>
  <si>
    <t>Ex1: Remove data that must remain confidential (e.g., from processors and memory) as soon as it is no longer needed
Ex2: Protect data in use from access by other users and processes of the same platform</t>
  </si>
  <si>
    <t>Data Classification policy, showing when to apply encryption and other technical controls for data in use
Representative technical/configuration evidence demonstrating implementation of applicable protection mechanisms.</t>
  </si>
  <si>
    <t>PR.DS-11</t>
  </si>
  <si>
    <t>Backups of data are created, protected, maintained, and tested</t>
  </si>
  <si>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geographic separation and geolocation restrictions for data backup storage</t>
  </si>
  <si>
    <t xml:space="preserve">Evidences of data backup and its testing </t>
  </si>
  <si>
    <t>Platform Security (PR.PS)</t>
  </si>
  <si>
    <t>PR.PS-01</t>
  </si>
  <si>
    <t>Configuration management practices are established and applied</t>
  </si>
  <si>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Ex3: Monitor implemented software for deviations from approved baselines</t>
  </si>
  <si>
    <t>1. Configuration management policy/procedure or configuration baseline standards.
2. Approved configuration baselines for representative critical systems.
3. Evidence that configuration changes are controlled, reviewed and maintained.</t>
  </si>
  <si>
    <t>IT Operations</t>
  </si>
  <si>
    <t>PR.PS-02</t>
  </si>
  <si>
    <t>Software is maintained, replaced, and removed commensurate with risk</t>
  </si>
  <si>
    <t>Ex1: Perform routine and emergency patching within the timeframes specified in the vulnerability management plan
Ex2: Update container images, and deploy new container instances to replace rather than update existing instances
Ex3: Replace end-of-life software and service versions with supported, maintained versions
Ex4: Uninstall and remove unauthorized software and services that pose undue risks
Ex5: Uninstall and remove any unnecessary software components (e.g., operating system utilities) that attackers might misuse
Ex6: Define and implement plans for software and service end-of-life maintenance support and obsolescence</t>
  </si>
  <si>
    <t>Evidences of patching, updating and replacement of softwares with repsect to risk</t>
  </si>
  <si>
    <t>PR.PS-03</t>
  </si>
  <si>
    <t>Hardware is maintained, replaced, and removed commensurate with risk</t>
  </si>
  <si>
    <t>Ex1: Replace hardware when it lacks needed Security capabilities or when it cannot support software with needed Security capabilities
Ex2: Define and implement plans for hardware end-of-life maintenance support and obsolescence
Ex3: Perform hardware disposal in a secure, responsible, and auditable manner</t>
  </si>
  <si>
    <t>Evidences of maintaing and replacement of hardwares with respect to risk</t>
  </si>
  <si>
    <t>PR.PS-04</t>
  </si>
  <si>
    <t>Log records are generated and made available for continuous monitoring</t>
  </si>
  <si>
    <t>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t>
  </si>
  <si>
    <t>Evidence that critical systems generate relevant Security events and make those events available for monitoring.</t>
  </si>
  <si>
    <t>PR.PS-05</t>
  </si>
  <si>
    <t>Installation and execution of unauthorized software are prevented</t>
  </si>
  <si>
    <t>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</si>
  <si>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Evidence ad mechanism to use organization approved softwares only</t>
  </si>
  <si>
    <t>PR.PS-06</t>
  </si>
  <si>
    <t>Secure software development practices are integrated, and their performance is monitored throughout the software development life cycle</t>
  </si>
  <si>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</si>
  <si>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Evidence of secure software development/Security engineering practices integrated into the software development lifecycle, including relevant Security requirements, code review/testing and Security validation activities.</t>
  </si>
  <si>
    <t>Engineering</t>
  </si>
  <si>
    <t>Technology Infrastructure Resilience (PR.IR)</t>
  </si>
  <si>
    <t>PR.IR-01</t>
  </si>
  <si>
    <t>Networks and environments are protected from unauthorized logical access and usage</t>
  </si>
  <si>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</si>
  <si>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Evidence of technical mechanisms protecting systems and infrastructure against unauthorized logical access, including relevant access-control, network Security and boundary protection configurations.</t>
  </si>
  <si>
    <t>PR.IR-02</t>
  </si>
  <si>
    <t>The organization's technology assets are protected from environmental threats</t>
  </si>
  <si>
    <t>Ex1: Protect organizational equipment from known environmental threats, such as flooding, fire, wind, and excessive heat and humidity
Ex2: Include protection from environmental threats and provisions for adequate operating infrastructure in requirements for service providers that operate systems on the organization's behalf</t>
  </si>
  <si>
    <t>Prevention mechanism to protec asset from environmental threats</t>
  </si>
  <si>
    <t>PR.IR-03</t>
  </si>
  <si>
    <t>Mechanisms are implemented to achieve resilience requirements in normal and adverse situations</t>
  </si>
  <si>
    <t>Ex1: Avoid single points of failure in systems and infrastructure
Ex2: Use load balancing to increase capacity and improve reliability
Ex3: Use high-availability components like redundant storage and power supplies to improve system reliability</t>
  </si>
  <si>
    <t>1. Resilience/continuity design or architecture for critical technology infrastructure.
2. Evidence of redundancy/failover/resilience mechanisms for critical infrastructure.
3. Relevant resilience/failover test results, where available.</t>
  </si>
  <si>
    <t>PR.IR-04</t>
  </si>
  <si>
    <t>Adequate resource capacity to ensure availability is maintained</t>
  </si>
  <si>
    <t>Ex1: Monitor usage of storage, power, compute, network bandwidth, and other resources
Ex2: Forecast future needs, and scale resources accordingly</t>
  </si>
  <si>
    <t>Evidence for high availability mechanism</t>
  </si>
  <si>
    <t>DETECT (DE)</t>
  </si>
  <si>
    <t>Continuous Monitoring (DE.CM)</t>
  </si>
  <si>
    <t>DE.CM-01</t>
  </si>
  <si>
    <t>Networks and network services are monitored to find potentially adverse events</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</si>
  <si>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</si>
  <si>
    <t>Evidence demonstrating continuous monitoring of network communications and network services, including monitoring coverage and representative monitoring records/alerts.</t>
  </si>
  <si>
    <t>MSSP</t>
  </si>
  <si>
    <t>DE.CM-02</t>
  </si>
  <si>
    <t>The physical environment is monitored to find potentially adverse events</t>
  </si>
  <si>
    <t>Ex1: Monitor logs from physical access control systems (e.g., badge readers) to find unusual access patterns (e.g., deviations from the norm) and failed access attempts
Ex2: Review and monitor physical access records (e.g., from visitor registration, sign-in sheets)
Ex3: Monitor physical access controls (e.g., locks, latches, hinge pins, alarms) for signs of tampering
Ex4: Monitor the physical environment using alarm systems, cameras, and Security guards</t>
  </si>
  <si>
    <t>Physical Security monitoring policy/procedure and representative evidence of monitoring and/or physical Security events, where applicable.</t>
  </si>
  <si>
    <t>DE.CM-03</t>
  </si>
  <si>
    <t>Personnel activity and technology usage are monitored to find potentially adverse events</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</si>
  <si>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</si>
  <si>
    <t>Evidence of monitoring relevant user/personnel activity and technology activity for cyberSecurity events, including applicable monitoring mechanisms and representative alerts/records.</t>
  </si>
  <si>
    <t>DE.CM-06</t>
  </si>
  <si>
    <t>External service provider activities and services are monitored to find potentially adverse events</t>
  </si>
  <si>
    <t>Ex1: Monitor remote and onsite administration and maintenance activities that external providers perform on organizational systems
Ex2: Monitor activity from cloud-based services, internet service providers, and other service providers for deviations from expected behavior</t>
  </si>
  <si>
    <t>Evidence demonstrating monitoring of relevant external service providers/services, including monitoring coverage, alerts/events and MSSP reporting where applicable.</t>
  </si>
  <si>
    <t>DE.CM-09</t>
  </si>
  <si>
    <t>Computing hardware and software, runtime environments, and their data are monitored to find potentially adverse events</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</si>
  <si>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Monitor hardware and software for signs of tampering
Ex5: Use technologies with a presence on endpoints to detect cyber health issues (e.g., missing patches, malware infections, unauthorized software), and redirect the endpoints to a remediation environment before access is authorized</t>
  </si>
  <si>
    <t>MSSP policy and evidence showing monitoring logs for hardware, software, run time environmentsand data+monitoring coverage/matrix + representative monitoring evidence.</t>
  </si>
  <si>
    <t>Adverse Event Analysis (DE.AE)</t>
  </si>
  <si>
    <t>DE.AE-02</t>
  </si>
  <si>
    <t>Potentially adverse events are analyzed to better understand associated activities</t>
  </si>
  <si>
    <t>Ex1: Use Security information and event management (SIEM) or other tools to continuously monitor log events for known malicious and suspicious activity
Ex2: Utilize up-to-date cyber threat intelligence in log analysis tools to improve detection accuracy and characterize threat actors, their methods, and indicators of compromise
Ex3: Regularly conduct manual reviews of log events for technologies that cannot be sufficiently monitored through automation
Ex4: Use log analysis tools to generate reports on their findings</t>
  </si>
  <si>
    <t>Evidences for log analysis and analysis procedure</t>
  </si>
  <si>
    <t>DE.AE-03</t>
  </si>
  <si>
    <t>Information is correlated from multiple sources</t>
  </si>
  <si>
    <t>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t>
  </si>
  <si>
    <t>Evidence showing logs collected from multiple servers</t>
  </si>
  <si>
    <t>DE.AE-04</t>
  </si>
  <si>
    <t>The estimated impact and scope of adverse events are understood</t>
  </si>
  <si>
    <t>Ex1: Use SIEMs or other tools to estimate impact and scope, and review and refine the estimates
Ex2: A person creates their own estimates of impact and scope</t>
  </si>
  <si>
    <t>Procedure for impact and scope analysis</t>
  </si>
  <si>
    <t>DE.AE-06</t>
  </si>
  <si>
    <t>Information on adverse events is provided to authorized staff and tools</t>
  </si>
  <si>
    <t>Ex1: Use cyberSecurity software to generate alerts and provide them to the Security operations center (SOC), incident responders, and incident response tools
Ex2: Incident responders and other authorized personnel can access log analysis findings at all times
Ex3: Automatically create and assign tickets in the organization's ticketing system when certain types of alerts occur
Ex4: Manually create and assign tickets in the organization's ticketing system when technical staff discover indicators of compromise</t>
  </si>
  <si>
    <t>Communication channel between organization and MSSP.
Evidence of continuous information sharing</t>
  </si>
  <si>
    <t>DE.AE-07</t>
  </si>
  <si>
    <t>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</si>
  <si>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</si>
  <si>
    <t>Procedure to integrate threat intelligence in analysis</t>
  </si>
  <si>
    <t>DE.AE-08</t>
  </si>
  <si>
    <t>Incidents are declared when adverse events meet the defined incident criteria</t>
  </si>
  <si>
    <t>Ex1: Apply incident criteria to known and assumed characteristics of activity in order to determine whether an incident should be declared
Ex2: Take known false positives into account when applying incident criteria</t>
  </si>
  <si>
    <t>Incident criteria document</t>
  </si>
  <si>
    <t>RESPOND (RS)</t>
  </si>
  <si>
    <t>Incident Management (RS.MA)</t>
  </si>
  <si>
    <t>RS.MA-01</t>
  </si>
  <si>
    <t>The incident response plan is executed in coordination with relevant third parties once an incident is declared</t>
  </si>
  <si>
    <t>Ex1: Detection technologies automatically report confirmed incidents
Ex2: Request incident response assistance from the organization's incident response outsourcer
Ex3: Designate an incident lead for each incident
Ex4: Initiate execution of additional cyberSecurity plans as needed to support incident response (for example, business continuity and disaster recovery)</t>
  </si>
  <si>
    <t>Incident Response paln</t>
  </si>
  <si>
    <t>RS.MA-02</t>
  </si>
  <si>
    <t>Incident reports are triaged and validated</t>
  </si>
  <si>
    <t>Ex1: Preliminarily review incident reports to confirm that they are cyberSecurity-related and necessitate incident response activities
Ex2: Apply criteria to estimate the severity of an incident</t>
  </si>
  <si>
    <t>Documented Incident Response Process</t>
  </si>
  <si>
    <t>RS.MA-03</t>
  </si>
  <si>
    <t>Incidents are categorized and prioritized</t>
  </si>
  <si>
    <t>Ex1: Further review and categorize incidents based on the type of incident (e.g., data breach, ransomware, DDoS, account compromise)
Ex2: Prioritize incidents based on their scope, likely impact, and time-critical nature
Ex3: Select incident response strategies for active incidents by balancing the need to quickly recover from an incident with the need to observe the attacker or conduct a more thorough investigation</t>
  </si>
  <si>
    <t>Incident classification adnd priritization criteria</t>
  </si>
  <si>
    <t>RS.MA-04</t>
  </si>
  <si>
    <t>Incidents are escalated or elevated as needed</t>
  </si>
  <si>
    <t>Ex1: Track and validate the status of all ongoing incidents
Ex2: Coordinate incident escalation or elevation with designated internal and external stakeholders</t>
  </si>
  <si>
    <t>Criteria for inccident escalation, Escalation matrix</t>
  </si>
  <si>
    <t>RS.MA-05</t>
  </si>
  <si>
    <t>The criteria for initiating incident recovery are applied</t>
  </si>
  <si>
    <t>Ex1: Apply incident recovery criteria to known and assumed characteristics of the incident to determine whether incident recovery processes should be initiated
Ex2: Take the possible operational disruption of incident recovery activities into account</t>
  </si>
  <si>
    <t>Incideny Recovvery criteria</t>
  </si>
  <si>
    <t>Incident Analysis (RS.AN)</t>
  </si>
  <si>
    <t>RS.AN-03</t>
  </si>
  <si>
    <t>Analysis is performed to establish what has taken place during an incident and the root cause of the incident</t>
  </si>
  <si>
    <t>Ex1: Determine the sequence of events that occurred during the incident and which assets and resources were involved in each event
Ex2: Attempt to determine what vulnerabilities, threats, and threat actors were directly or indirectly involved in the incident
Ex3: Analyze the incident to find the underlying, systemic root causes
Ex4: Check any cyber deception technology for additional information on attacker behavior</t>
  </si>
  <si>
    <t>Evidence of incident investigation and analysis procedures and records demonstrating collection/correlation of relevant information to determine incident characteristics, scope and/or cause, as applicable.</t>
  </si>
  <si>
    <t>RS.AN-06</t>
  </si>
  <si>
    <t>Actions performed during an investigation are recorded, and the records' integrity and provenance are preserved</t>
  </si>
  <si>
    <t>Ex1: Require each incident responder and others (e.g., system administrators, cyberSecurity engineers) who perform incident response tasks to record their actions and make the record immutable
Ex2: Require the incident lead to document the incident in detail and be responsible for preserving the integrity of the documentation and the sources of all information being reported</t>
  </si>
  <si>
    <t>Logs/evidences for investigation/analysis</t>
  </si>
  <si>
    <t>RS.AN-07</t>
  </si>
  <si>
    <t>Incident data and metadata are collected, and their integrity and provenance are preserved</t>
  </si>
  <si>
    <t>Ex1: Collect, preserve, and safeguard the integrity of all pertinent incident data and metadata (e.g., data source, date/time of collection) based on evidence preservation and chain-of-custody procedures</t>
  </si>
  <si>
    <t>Evidence for Incident metada</t>
  </si>
  <si>
    <t>RS.AN-08</t>
  </si>
  <si>
    <t>An incident's magnitude is estimated and validated</t>
  </si>
  <si>
    <t>Ex1: Review other potential targets of the incident to search for indicators of compromise and evidence of persistence
Ex2: Automatically run tools on targets to look for indicators of compromise and evidence of persistence</t>
  </si>
  <si>
    <t>Incident Analysis report conaing impact of the incidence</t>
  </si>
  <si>
    <t>Incident Response Reporting and Communication (RS.CO)</t>
  </si>
  <si>
    <t>RS.CO-02</t>
  </si>
  <si>
    <t>Internal and external stakeholders are notified of incidents</t>
  </si>
  <si>
    <t>Ex1: Follow the organization's breach notification procedures after discovering a data breach incident, including notifying affected customers
Ex2: Notify business partners and customers of incidents in accordance with contractual requirements
Ex3: Notify law enforcement agencies and regulatory bodies of incidents based on criteria in the incident response plan and management approval</t>
  </si>
  <si>
    <t>Communication channel between organization and stakeholders for incidence communication
Evidence of incident initial communication</t>
  </si>
  <si>
    <t>RS.CO-03</t>
  </si>
  <si>
    <t>Information is shared with designated internal and external stakeholders</t>
  </si>
  <si>
    <t>Ex1: Securely share information consistent with response plans and information sharing agreements
Ex2: Voluntarily share information about an attacker's observed TTPs, with all sensitive data removed, with an Information Sharing and Analysis Center (ISAC)
Ex3: Notify HR when malicious insider activity occurs
Ex4: Regularly update senior leadership on the status of major incidents
Ex5: Follow the rules and protocols defined in contracts for incident information sharing between the organization and its suppliers
Ex6: Coordinate crisis communication methods between the organization and its critical suppliers</t>
  </si>
  <si>
    <t>Communication channel between organization and stakeholders for incidence communication
Evidence of communication made regarding actions taken and progress made</t>
  </si>
  <si>
    <t>Incident Mitigation (RS.MI)</t>
  </si>
  <si>
    <t>RS.MI-01</t>
  </si>
  <si>
    <t>Incidents are contained</t>
  </si>
  <si>
    <t>Ex1: CyberSecurity technologies (e.g., antivirus software) and cyberSecurity features of other technologies (e.g., operating systems, network infrastructure devices) automatically perform containment actions
Ex2: Allow incident responders to manually select and perform containment actions
Ex3: Allow a third party (e.g., internet service provider, managed Security service provider) to perform containment actions on behalf of the organization
Ex4: Automatically transfer compromised endpoints to a remediation virtual local area network (VLAN)</t>
  </si>
  <si>
    <t>Incident Containment report</t>
  </si>
  <si>
    <t>RS.MI-02</t>
  </si>
  <si>
    <t>Incidents are eradicated</t>
  </si>
  <si>
    <t>Ex1: CyberSecurity technologies and cyberSecurity features of other technologies (e.g., operating systems, network infrastructure devices) automatically perform eradication actions
Ex2: Allow incident responders to manually select and perform eradication actions
Ex3: Allow a third party (e.g., managed Security service provider) to perform eradication actions on behalf of the organization</t>
  </si>
  <si>
    <t xml:space="preserve">Evidence and verification logs of incidence removal </t>
  </si>
  <si>
    <t>RECOVER (RC)</t>
  </si>
  <si>
    <t>Incident Recovery Plan Execution (RC.RP)</t>
  </si>
  <si>
    <t>RC.RP-01</t>
  </si>
  <si>
    <t>The recovery portion of the incident response plan is executed once initiated from the incident response process</t>
  </si>
  <si>
    <t>Ex1: Begin recovery procedures during or after incident response processes
Ex2: Make all individuals with recovery responsibilities aware of the plans for recovery and the authorizations required to implement each aspect of the plans</t>
  </si>
  <si>
    <t>Incident Revcovery paln</t>
  </si>
  <si>
    <t>RC.RP-02</t>
  </si>
  <si>
    <t>Recovery actions are selected, scoped, prioritized, and performed</t>
  </si>
  <si>
    <t>Ex1: Select recovery actions based on the criteria defined in the incident response plan and available resources
Ex2: Change planned recovery actions based on a reassessment of organizational needs and resources</t>
  </si>
  <si>
    <t>Documented recovery prcedure</t>
  </si>
  <si>
    <t>RC.RP-03</t>
  </si>
  <si>
    <t>The integrity of backups and other restoration assets is verified before using them for restoration</t>
  </si>
  <si>
    <t>Ex1: Check restoration assets for indicators of compromise, file corruption, and other integrity issues before use</t>
  </si>
  <si>
    <t>Evidence for back up verification and its frequency</t>
  </si>
  <si>
    <t>RC.RP-04</t>
  </si>
  <si>
    <t>Critical mission functions and cyberSecurity risk management are considered to establish post-incident operational norms</t>
  </si>
  <si>
    <t>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</si>
  <si>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1. Recovery status/validation records for representative recovery activities or exercises.
2. Evidence demonstrating validation of restored services/systems against defined recovery requirements.
3. Recovery test/exercise results and resulting corrective actions, where applicable.</t>
  </si>
  <si>
    <t>RC.RP-05</t>
  </si>
  <si>
    <t>The integrity of restored assets is verified, systems and services are restored, and normal operating status is confirmed</t>
  </si>
  <si>
    <t>Ex1: Check restored assets for indicators of compromise and remediation of root causes of the incident before production use
Ex2: Verify the correctness and adequacy of the restoration actions taken before putting a restored system online</t>
  </si>
  <si>
    <t>Logs or evidence of testinbg after restoration of assets</t>
  </si>
  <si>
    <t>RC.RP-06</t>
  </si>
  <si>
    <t>The end of incident recovery is declared based on criteria, and incident-related documentation is completed</t>
  </si>
  <si>
    <t>Ex1: Prepare an after-action report that documents the incident itself, the response and recovery actions taken, and lessons learned
Ex2: Declare the end of incident recovery once the criteria are met</t>
  </si>
  <si>
    <t>Criteria of end of incident declaration</t>
  </si>
  <si>
    <t>Incident Recovery Communication (RC.CO)</t>
  </si>
  <si>
    <t>RC.CO-03</t>
  </si>
  <si>
    <t>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</si>
  <si>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</si>
  <si>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Eviences of communication with stakeholders during recovery process</t>
  </si>
  <si>
    <t>RC.CO-04</t>
  </si>
  <si>
    <t>Public updates on incident recovery are shared using approved methods and messaging</t>
  </si>
  <si>
    <t>Ex1: Follow the organization's breach notification procedures for recovering from a data breach incident
Ex2: Explain the steps being taken to recover from the incident and to prevent a recurrence</t>
  </si>
  <si>
    <t>Eviences of communication with public during recovery process</t>
  </si>
  <si>
    <t>Not Started</t>
  </si>
  <si>
    <t>Evidence Requested</t>
  </si>
  <si>
    <t>In Progress</t>
  </si>
  <si>
    <t>Partially Submitted</t>
  </si>
  <si>
    <t>Submitted</t>
  </si>
  <si>
    <t>Under Review</t>
  </si>
  <si>
    <t>Clarification Required</t>
  </si>
  <si>
    <t>Revision Requested</t>
  </si>
  <si>
    <t>Accepted</t>
  </si>
  <si>
    <t>Not Available</t>
  </si>
  <si>
    <t>Not Applicable</t>
  </si>
  <si>
    <t>Governing evidence</t>
  </si>
  <si>
    <t>Implementation evidence</t>
  </si>
  <si>
    <t>Operating evidence</t>
  </si>
  <si>
    <t>Effectiveness evidence</t>
  </si>
  <si>
    <t>Policy / standard / approved criteria.</t>
  </si>
  <si>
    <t>Configuration / procedure / workflow / architecture.</t>
  </si>
  <si>
    <t>Records / tickets / logs  / reports / samples</t>
  </si>
  <si>
    <t>esting / monitoring / metrics / review / remediation.</t>
  </si>
  <si>
    <t>What establishes the requirement?</t>
  </si>
  <si>
    <t>How has Northstar implemented it?</t>
  </si>
  <si>
    <t>Show me that it actually happens.</t>
  </si>
  <si>
    <t>How does Northstar know it works?</t>
  </si>
  <si>
    <t>Gap Score</t>
  </si>
  <si>
    <t>Gap Analysis</t>
  </si>
  <si>
    <t>Partial</t>
  </si>
  <si>
    <t>Repeatable</t>
  </si>
  <si>
    <t>Adaptive</t>
  </si>
  <si>
    <t>Risk Informed</t>
  </si>
  <si>
    <t>Mission Statement/Document not provided</t>
  </si>
  <si>
    <t>Customers and their legal/regulatory requirements are not listed</t>
  </si>
  <si>
    <t>Legal, regulatory and contractual requirements of the organization are not listed</t>
  </si>
  <si>
    <t>Centralized inventory of all the critical services and assets should be defined</t>
  </si>
  <si>
    <t>organization is aware about the dependencies but centralized inventory is not maintained</t>
  </si>
  <si>
    <t>Risk Management objectives are defined in the Risk Management policy</t>
  </si>
  <si>
    <t>Enterprise risk register consist of cyber security risk</t>
  </si>
  <si>
    <t>Risk response options are mentioned in Risk Management policy</t>
  </si>
  <si>
    <t>No clear evidence regarding established lines of communication</t>
  </si>
  <si>
    <t>Risk Apetitie is defined in Risk Management Policy but Risk Tolerence is not consistently docuemented</t>
  </si>
  <si>
    <t>Policy metioned risk is generally calculated on likelihood and impact; no clear evidence of formal documentation of the process</t>
  </si>
  <si>
    <t>No mention of how organization handles positive risks</t>
  </si>
  <si>
    <t>Periodic reviews are done and risk posture is presented to CIO by CISO</t>
  </si>
  <si>
    <t>Risk owners and other responsibilities are defined and communicated</t>
  </si>
  <si>
    <t>No  evidence on how organization does ensure the resource alllocation</t>
  </si>
  <si>
    <t>Onboarding policy should define the cybersecurity rquirements like mandatory trainings and a process to monitor the training record should be established</t>
  </si>
  <si>
    <t>Risk Management policy is well established</t>
  </si>
  <si>
    <t>Policy is established but no process to manage change/update the policy defined</t>
  </si>
  <si>
    <t>TBD</t>
  </si>
  <si>
    <t>Periodic riskds reviews are done, but no clear evidenvce on comprehensive review of risk management process</t>
  </si>
  <si>
    <t>No supply chain or TPRM policy in place</t>
  </si>
  <si>
    <t>IT team manintains the inventory of laptops and servers only.</t>
  </si>
  <si>
    <t>Engineering maitains inventory of cloud resources only.</t>
  </si>
  <si>
    <t xml:space="preserve">No mention of network dataflow </t>
  </si>
  <si>
    <t>Information is maintained by individual teams, no centralized inventory present.</t>
  </si>
  <si>
    <t xml:space="preserve">Termination procedure exist but no formal policy </t>
  </si>
  <si>
    <t>Incident notification and cooperation requirments mentioned</t>
  </si>
  <si>
    <t>Due diligence is done during onboarding. However, continuous monitoring and risk reporting is missing</t>
  </si>
  <si>
    <t>Procurement performs the due diligence</t>
  </si>
  <si>
    <t>Cyber security risks are included in contratc but only for high risk tech suppliers</t>
  </si>
  <si>
    <t>Critical suppliers are identified for additional security checks</t>
  </si>
  <si>
    <t>No information on asser classification</t>
  </si>
  <si>
    <t>No data inventory present</t>
  </si>
  <si>
    <t>No evidence on asset management</t>
  </si>
  <si>
    <t>Vulnerability scanning is done</t>
  </si>
  <si>
    <t>Threat intelligence is received</t>
  </si>
  <si>
    <t>Done via vulnerability scanning</t>
  </si>
  <si>
    <t>Risk assessment used likelihood and impact ratings</t>
  </si>
  <si>
    <t>No evidence on how risk are assessed for change</t>
  </si>
  <si>
    <t>Process to receive threat intelligence is defiend but evidence on how vulnerability disclosures are being dealt</t>
  </si>
  <si>
    <t>Due diligence is done by procurement before acquisition</t>
  </si>
  <si>
    <t>Due diligence is done</t>
  </si>
  <si>
    <t>Reviews are performed on individual services and control, No evidence of perodic organization wide reviews and audits</t>
  </si>
  <si>
    <t>Third party security reviews are done</t>
  </si>
  <si>
    <t>No mock drill or simulation exercise</t>
  </si>
  <si>
    <t>IRP is present</t>
  </si>
  <si>
    <t>Managed by Identity plateform</t>
  </si>
  <si>
    <t>No evidence of authoration mechanism</t>
  </si>
  <si>
    <t>Authentication is managed by Identity plateform</t>
  </si>
  <si>
    <t>No formal access management policy</t>
  </si>
  <si>
    <t>No evidence on physicall access management</t>
  </si>
  <si>
    <t>No training and awareness policy</t>
  </si>
  <si>
    <t>Data is protected by individual teams</t>
  </si>
  <si>
    <t>Protected by individual teams ; TLS is implemented</t>
  </si>
  <si>
    <t>Secured by cloud provider</t>
  </si>
  <si>
    <t>No evidence on configuation management</t>
  </si>
  <si>
    <t>No significant evidence</t>
  </si>
  <si>
    <t>No evidence</t>
  </si>
  <si>
    <t>Logs captured and forwarded to SIEM but legacy applications are not covered</t>
  </si>
  <si>
    <t>Cloud based firewall in place</t>
  </si>
  <si>
    <t>Mostly managed by cloud service provider</t>
  </si>
  <si>
    <t>Monitored via SIEM</t>
  </si>
  <si>
    <t>Done by security team</t>
  </si>
  <si>
    <t>Legacy applcations are left out</t>
  </si>
  <si>
    <t>Understood by business impact and urgency</t>
  </si>
  <si>
    <t>Communication and escalation is done</t>
  </si>
  <si>
    <t>hreat intelligence is received; no evidence on integration</t>
  </si>
  <si>
    <t>Done as per incident response policy</t>
  </si>
  <si>
    <t>Incients are notified to stakeholders and escalated to management but some follow up actions remain open</t>
  </si>
  <si>
    <t>Incident severity is determined using business impact, affected systems and urgency</t>
  </si>
  <si>
    <t>Escalated to senior management</t>
  </si>
  <si>
    <t>Incident recovery process is in placve but no incident recovery criteria is defined</t>
  </si>
  <si>
    <t>No evidence on RCA</t>
  </si>
  <si>
    <t xml:space="preserve">Criteria is in place to determine incident severity </t>
  </si>
  <si>
    <t>Recoevry plan exist but not consistent</t>
  </si>
  <si>
    <t>Recovery objective are defined</t>
  </si>
  <si>
    <t>Likelihood</t>
  </si>
  <si>
    <t>Score</t>
  </si>
  <si>
    <t>Meaning</t>
  </si>
  <si>
    <t>Description</t>
  </si>
  <si>
    <t>Rare</t>
  </si>
  <si>
    <t>Strong controls, limited exposure, no credible threat path</t>
  </si>
  <si>
    <t>Unlikely</t>
  </si>
  <si>
    <t>Limited exposure and/or effective controls significantly reduce likelihood</t>
  </si>
  <si>
    <t>Possible</t>
  </si>
  <si>
    <t>Credible threat path exists and some control weaknesses are present</t>
  </si>
  <si>
    <t>Likely</t>
  </si>
  <si>
    <t>Significant exposure/control weaknesses make exploitation reasonably plausible</t>
  </si>
  <si>
    <t>Almost Certain</t>
  </si>
  <si>
    <t>Direct exposure, exploitable weakness and/or strong threat activity make occurrence highly probable</t>
  </si>
  <si>
    <t>Likelihood Score</t>
  </si>
  <si>
    <t>Insignificant</t>
  </si>
  <si>
    <t>Minor</t>
  </si>
  <si>
    <t>Moderate</t>
  </si>
  <si>
    <t>Major</t>
  </si>
  <si>
    <t>Catastrophic</t>
  </si>
  <si>
    <t>Impact</t>
  </si>
  <si>
    <t>Impact (CIA)</t>
  </si>
  <si>
    <t>Confidentiality</t>
  </si>
  <si>
    <t>Integrity</t>
  </si>
  <si>
    <t>Availibility</t>
  </si>
  <si>
    <t>Impact Score</t>
  </si>
  <si>
    <t>Risk Score</t>
  </si>
  <si>
    <t>&gt;20</t>
  </si>
  <si>
    <t>15-20</t>
  </si>
  <si>
    <t>10-14</t>
  </si>
  <si>
    <t>&lt;10</t>
  </si>
  <si>
    <t>Level</t>
  </si>
  <si>
    <t>P1: Critical</t>
  </si>
  <si>
    <t>P2: High</t>
  </si>
  <si>
    <t>P3: Medium</t>
  </si>
  <si>
    <t>P4: Low</t>
  </si>
  <si>
    <t>Priority</t>
  </si>
  <si>
    <t>Recommended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</si>
</sst>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Segoe UI"/>
      <family val="2"/>
    </font>
    <font>
      <sz val="10"/>
      <color theme="1"/>
      <name val="Segoe UI"/>
      <family val="2"/>
    </font>
    <font>
      <b/>
      <sz val="10"/>
      <color theme="1"/>
      <name val="Segoe UI"/>
      <family val="2"/>
    </font>
    <font>
      <sz val="10"/>
      <color theme="1" tint="4.9989318521683403E-2"/>
      <name val="Segoe UI"/>
      <family val="2"/>
    </font>
    <font>
      <b/>
      <sz val="11"/>
      <color theme="1"/>
      <name val="Calibri"/>
      <family val="2"/>
      <scheme val="minor"/>
    </font>
    <font>
      <sz val="12"/>
      <color theme="1"/>
      <name val="Aptos"/>
      <family val="2"/>
    </font>
  </fonts>
  <fills count="9">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4" borderId="1" xfId="0" applyFont="1" applyFill="1" applyBorder="1" applyAlignment="1">
      <alignment vertical="center"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3" fillId="5" borderId="1" xfId="0" applyFont="1" applyFill="1" applyBorder="1" applyAlignment="1">
      <alignment horizontal="center" vertical="top"/>
    </xf>
    <xf numFmtId="0" fontId="3" fillId="6" borderId="1" xfId="0" applyFont="1" applyFill="1" applyBorder="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xf>
    <xf numFmtId="0" fontId="2" fillId="7"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1" fillId="8" borderId="1" xfId="0" applyFont="1" applyFill="1" applyBorder="1" applyAlignment="1">
      <alignment vertical="center" wrapText="1"/>
    </xf>
    <xf numFmtId="0" fontId="3" fillId="8" borderId="1" xfId="0" applyFont="1" applyFill="1" applyBorder="1" applyAlignment="1">
      <alignment horizontal="center" vertical="top"/>
    </xf>
    <xf numFmtId="0" fontId="0" fillId="0" borderId="0" xfId="0" applyAlignment="1">
      <alignment horizontal="center"/>
    </xf>
    <xf numFmtId="0" fontId="2" fillId="0" borderId="0" xfId="0" applyFont="1" applyAlignment="1">
      <alignment horizontal="center" vertical="top" wrapText="1"/>
    </xf>
    <xf numFmtId="0" fontId="3" fillId="8" borderId="1" xfId="0" applyFont="1" applyFill="1" applyBorder="1" applyAlignment="1">
      <alignment horizontal="center" vertical="top"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vertical="center" wrapText="1"/>
    </xf>
    <xf numFmtId="0" fontId="1" fillId="8" borderId="7" xfId="0" applyFont="1" applyFill="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0" fillId="0" borderId="1" xfId="0" applyBorder="1"/>
    <xf numFmtId="0" fontId="6" fillId="0" borderId="1" xfId="0" applyFont="1" applyBorder="1" applyAlignment="1">
      <alignment horizontal="center" vertical="center" wrapText="1"/>
    </xf>
    <xf numFmtId="49" fontId="0" fillId="0" borderId="1" xfId="0" applyNumberFormat="1" applyBorder="1"/>
    <xf numFmtId="0" fontId="5" fillId="0" borderId="0" xfId="0" applyFont="1" applyAlignment="1">
      <alignment horizontal="center"/>
    </xf>
    <xf numFmtId="0" fontId="0" fillId="0" borderId="0" xfId="0" applyAlignment="1">
      <alignment horizontal="center"/>
    </xf>
    <xf numFmtId="0" fontId="5" fillId="0" borderId="6" xfId="0" applyFont="1" applyBorder="1" applyAlignment="1">
      <alignment horizontal="center"/>
    </xf>
    <xf numFmtId="0" fontId="0" fillId="0" borderId="6"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8"/>
  <sheetViews>
    <sheetView tabSelected="1" topLeftCell="N1" zoomScale="70" zoomScaleNormal="70" workbookViewId="0">
      <pane ySplit="2" topLeftCell="A3" activePane="bottomLeft" state="frozen"/>
      <selection activeCell="C1" sqref="C1"/>
      <selection pane="bottomLeft" activeCell="V115" sqref="V115"/>
    </sheetView>
  </sheetViews>
  <sheetFormatPr defaultRowHeight="16" x14ac:dyDescent="0.35"/>
  <cols>
    <col min="1" max="1" width="15.81640625" style="8" hidden="1" customWidth="1"/>
    <col min="2" max="2" width="21.1796875" style="8" hidden="1" customWidth="1"/>
    <col min="3" max="3" width="15.1796875" style="8" customWidth="1"/>
    <col min="4" max="4" width="57.08984375" style="9" customWidth="1"/>
    <col min="5" max="5" width="59.26953125" style="8" hidden="1" customWidth="1"/>
    <col min="6" max="6" width="33.26953125" style="8" customWidth="1"/>
    <col min="7" max="7" width="20.36328125" style="8" customWidth="1"/>
    <col min="8" max="9" width="21.36328125" style="8" hidden="1" customWidth="1"/>
    <col min="10" max="10" width="23.453125" style="8" hidden="1" customWidth="1"/>
    <col min="11" max="11" width="20.26953125" style="8" customWidth="1"/>
    <col min="12" max="12" width="20.26953125" style="10" customWidth="1"/>
    <col min="13" max="13" width="15.7265625" style="9" customWidth="1"/>
    <col min="14" max="15" width="20" style="10" customWidth="1"/>
    <col min="16" max="17" width="26.54296875" style="17" customWidth="1"/>
    <col min="18" max="18" width="23.08984375" customWidth="1"/>
    <col min="19" max="19" width="12.08984375" customWidth="1"/>
    <col min="20" max="20" width="16.36328125" customWidth="1"/>
    <col min="21" max="21" width="16.453125" customWidth="1"/>
    <col min="22" max="22" width="25.08984375" customWidth="1"/>
    <col min="23" max="23" width="18.453125" customWidth="1"/>
    <col min="24" max="24" width="27.81640625" customWidth="1"/>
  </cols>
  <sheetData>
    <row r="1" spans="1:24" x14ac:dyDescent="0.35">
      <c r="H1" s="4"/>
      <c r="R1" s="31" t="s">
        <v>600</v>
      </c>
      <c r="S1" s="32"/>
      <c r="T1" s="32"/>
    </row>
    <row r="2" spans="1:24" ht="33" customHeight="1" x14ac:dyDescent="0.35">
      <c r="A2" s="1" t="s">
        <v>0</v>
      </c>
      <c r="B2" s="1" t="s">
        <v>1</v>
      </c>
      <c r="C2" s="1" t="s">
        <v>2</v>
      </c>
      <c r="D2" s="1" t="s">
        <v>3</v>
      </c>
      <c r="E2" s="1" t="s">
        <v>4</v>
      </c>
      <c r="F2" s="1" t="s">
        <v>5</v>
      </c>
      <c r="G2" s="1" t="s">
        <v>6</v>
      </c>
      <c r="H2" s="1" t="s">
        <v>7</v>
      </c>
      <c r="I2" s="1" t="s">
        <v>8</v>
      </c>
      <c r="J2" s="1" t="s">
        <v>9</v>
      </c>
      <c r="K2" s="2" t="s">
        <v>11</v>
      </c>
      <c r="L2" s="2" t="s">
        <v>10</v>
      </c>
      <c r="M2" s="3" t="s">
        <v>13</v>
      </c>
      <c r="N2" s="3" t="s">
        <v>12</v>
      </c>
      <c r="O2" s="14" t="s">
        <v>498</v>
      </c>
      <c r="P2" s="14" t="s">
        <v>499</v>
      </c>
      <c r="Q2" s="14" t="s">
        <v>594</v>
      </c>
      <c r="R2" s="25" t="s">
        <v>602</v>
      </c>
      <c r="S2" s="25" t="s">
        <v>603</v>
      </c>
      <c r="T2" s="25" t="s">
        <v>604</v>
      </c>
      <c r="U2" s="25" t="s">
        <v>605</v>
      </c>
      <c r="V2" s="25" t="s">
        <v>606</v>
      </c>
      <c r="W2" s="25" t="s">
        <v>616</v>
      </c>
      <c r="X2" s="25" t="s">
        <v>617</v>
      </c>
    </row>
    <row r="3" spans="1:24" ht="48" customHeight="1" x14ac:dyDescent="0.35">
      <c r="A3" s="4" t="s">
        <v>14</v>
      </c>
      <c r="B3" s="4" t="s">
        <v>15</v>
      </c>
      <c r="C3" s="4" t="s">
        <v>16</v>
      </c>
      <c r="D3" s="5" t="s">
        <v>17</v>
      </c>
      <c r="E3" s="4" t="s">
        <v>18</v>
      </c>
      <c r="F3" s="11" t="s">
        <v>19</v>
      </c>
      <c r="G3" s="4" t="s">
        <v>20</v>
      </c>
      <c r="I3" s="4"/>
      <c r="J3" s="4"/>
      <c r="K3" s="6">
        <v>1</v>
      </c>
      <c r="L3" s="6" t="s">
        <v>500</v>
      </c>
      <c r="M3" s="7">
        <v>3</v>
      </c>
      <c r="N3" s="7" t="s">
        <v>501</v>
      </c>
      <c r="O3" s="15">
        <f>M3-K3</f>
        <v>2</v>
      </c>
      <c r="P3" s="18" t="s">
        <v>504</v>
      </c>
      <c r="Q3" s="18">
        <v>1</v>
      </c>
      <c r="R3">
        <v>1</v>
      </c>
      <c r="S3">
        <v>2</v>
      </c>
      <c r="T3">
        <v>3</v>
      </c>
      <c r="U3">
        <f>MAX(R3,S3,T3)</f>
        <v>3</v>
      </c>
      <c r="V3">
        <f>Q3*U3</f>
        <v>3</v>
      </c>
      <c r="W3" t="str" cm="1">
        <f t="array" ref="W3">_xlfn.IFS(V3&gt;20,"P1: Critical",15&lt;V3&lt;20,"P2: High",V3&lt;10&lt;15,"P3:Medium",V3&lt;10,"P4: Low")</f>
        <v>P4: Low</v>
      </c>
    </row>
    <row r="4" spans="1:24" ht="112" customHeight="1" x14ac:dyDescent="0.35">
      <c r="A4" s="4" t="s">
        <v>14</v>
      </c>
      <c r="B4" s="4" t="s">
        <v>15</v>
      </c>
      <c r="C4" s="4" t="s">
        <v>21</v>
      </c>
      <c r="D4" s="5" t="s">
        <v>22</v>
      </c>
      <c r="E4" s="4" t="s">
        <v>23</v>
      </c>
      <c r="F4" s="11" t="s">
        <v>24</v>
      </c>
      <c r="G4" s="4" t="s">
        <v>20</v>
      </c>
      <c r="H4" s="4"/>
      <c r="I4" s="4"/>
      <c r="J4" s="4"/>
      <c r="K4" s="6">
        <v>2</v>
      </c>
      <c r="L4" s="6" t="s">
        <v>503</v>
      </c>
      <c r="M4" s="7">
        <v>3</v>
      </c>
      <c r="N4" s="7" t="s">
        <v>501</v>
      </c>
      <c r="O4" s="15">
        <f t="shared" ref="O4:O67" si="0">M4-K4</f>
        <v>1</v>
      </c>
      <c r="P4" s="18" t="s">
        <v>505</v>
      </c>
      <c r="Q4" s="18">
        <v>2</v>
      </c>
      <c r="U4">
        <f t="shared" ref="U4:U67" si="1">MAX(R4,S4,T4)</f>
        <v>0</v>
      </c>
      <c r="V4">
        <f t="shared" ref="V4:V67" si="2">Q4*U4</f>
        <v>0</v>
      </c>
      <c r="W4" t="str" cm="1">
        <f t="array" ref="W4">_xlfn.IFS(V4&gt;20,"P1: Critical",15&lt;V4&lt;20,"P2: High",V4&lt;10&lt;15,"P3:Medium",V4&lt;10,"P4: Low")</f>
        <v>P4: Low</v>
      </c>
    </row>
    <row r="5" spans="1:24" ht="176" customHeight="1" x14ac:dyDescent="0.35">
      <c r="A5" s="4" t="s">
        <v>14</v>
      </c>
      <c r="B5" s="4" t="s">
        <v>15</v>
      </c>
      <c r="C5" s="4" t="s">
        <v>25</v>
      </c>
      <c r="D5" s="5" t="s">
        <v>26</v>
      </c>
      <c r="E5" s="4" t="s">
        <v>27</v>
      </c>
      <c r="F5" s="11" t="s">
        <v>28</v>
      </c>
      <c r="G5" s="4" t="s">
        <v>29</v>
      </c>
      <c r="H5" s="4"/>
      <c r="I5" s="4"/>
      <c r="J5" s="4"/>
      <c r="K5" s="6">
        <v>1</v>
      </c>
      <c r="L5" s="6" t="s">
        <v>500</v>
      </c>
      <c r="M5" s="7">
        <v>3</v>
      </c>
      <c r="N5" s="7" t="s">
        <v>501</v>
      </c>
      <c r="O5" s="15">
        <f t="shared" si="0"/>
        <v>2</v>
      </c>
      <c r="P5" s="18" t="s">
        <v>506</v>
      </c>
      <c r="Q5" s="18"/>
      <c r="U5">
        <f t="shared" si="1"/>
        <v>0</v>
      </c>
      <c r="V5">
        <f t="shared" si="2"/>
        <v>0</v>
      </c>
      <c r="W5" t="str" cm="1">
        <f t="array" ref="W5">_xlfn.IFS(V5&gt;20,"P1: Critical",15&lt;V5&lt;20,"P2: High",V5&lt;10&lt;15,"P3:Medium",V5&lt;10,"P4: Low")</f>
        <v>P4: Low</v>
      </c>
    </row>
    <row r="6" spans="1:24" ht="144" customHeight="1" x14ac:dyDescent="0.35">
      <c r="A6" s="4" t="s">
        <v>14</v>
      </c>
      <c r="B6" s="4" t="s">
        <v>15</v>
      </c>
      <c r="C6" s="4" t="s">
        <v>30</v>
      </c>
      <c r="D6" s="5" t="s">
        <v>31</v>
      </c>
      <c r="E6" s="4" t="s">
        <v>32</v>
      </c>
      <c r="F6" s="11" t="s">
        <v>33</v>
      </c>
      <c r="G6" s="4" t="s">
        <v>34</v>
      </c>
      <c r="H6" s="4"/>
      <c r="I6" s="4"/>
      <c r="J6" s="4"/>
      <c r="K6" s="6">
        <v>2</v>
      </c>
      <c r="L6" s="6" t="s">
        <v>503</v>
      </c>
      <c r="M6" s="7">
        <v>3</v>
      </c>
      <c r="N6" s="7" t="s">
        <v>501</v>
      </c>
      <c r="O6" s="15">
        <f t="shared" si="0"/>
        <v>1</v>
      </c>
      <c r="P6" s="18" t="s">
        <v>507</v>
      </c>
      <c r="Q6" s="18"/>
      <c r="U6">
        <f t="shared" si="1"/>
        <v>0</v>
      </c>
      <c r="V6">
        <f t="shared" si="2"/>
        <v>0</v>
      </c>
      <c r="W6" t="str" cm="1">
        <f t="array" ref="W6">_xlfn.IFS(V6&gt;20,"P1: Critical",15&lt;V6&lt;20,"P2: High",V6&lt;10&lt;15,"P3:Medium",V6&lt;10,"P4: Low")</f>
        <v>P4: Low</v>
      </c>
    </row>
    <row r="7" spans="1:24" ht="192" customHeight="1" x14ac:dyDescent="0.35">
      <c r="A7" s="4" t="s">
        <v>14</v>
      </c>
      <c r="B7" s="4" t="s">
        <v>15</v>
      </c>
      <c r="C7" s="4" t="s">
        <v>35</v>
      </c>
      <c r="D7" s="5" t="s">
        <v>36</v>
      </c>
      <c r="E7" s="4" t="s">
        <v>37</v>
      </c>
      <c r="F7" s="12" t="s">
        <v>38</v>
      </c>
      <c r="G7" s="4" t="s">
        <v>34</v>
      </c>
      <c r="H7" s="4"/>
      <c r="I7" s="4"/>
      <c r="J7" s="4"/>
      <c r="K7" s="6">
        <v>2</v>
      </c>
      <c r="L7" s="6" t="s">
        <v>503</v>
      </c>
      <c r="M7" s="7">
        <v>3</v>
      </c>
      <c r="N7" s="7" t="s">
        <v>501</v>
      </c>
      <c r="O7" s="15">
        <f>M7-K7</f>
        <v>1</v>
      </c>
      <c r="P7" s="18" t="s">
        <v>508</v>
      </c>
      <c r="Q7" s="18"/>
      <c r="U7">
        <f t="shared" si="1"/>
        <v>0</v>
      </c>
      <c r="V7">
        <f t="shared" si="2"/>
        <v>0</v>
      </c>
      <c r="W7" t="str" cm="1">
        <f t="array" ref="W7">_xlfn.IFS(V7&gt;20,"P1: Critical",15&lt;V7&lt;20,"P2: High",V7&lt;10&lt;15,"P3:Medium",V7&lt;10,"P4: Low")</f>
        <v>P4: Low</v>
      </c>
    </row>
    <row r="8" spans="1:24" ht="128" customHeight="1" x14ac:dyDescent="0.35">
      <c r="A8" s="4" t="s">
        <v>14</v>
      </c>
      <c r="B8" s="4" t="s">
        <v>39</v>
      </c>
      <c r="C8" s="4" t="s">
        <v>40</v>
      </c>
      <c r="D8" s="5" t="s">
        <v>41</v>
      </c>
      <c r="E8" s="4" t="s">
        <v>42</v>
      </c>
      <c r="F8" s="11" t="s">
        <v>43</v>
      </c>
      <c r="G8" s="4" t="s">
        <v>20</v>
      </c>
      <c r="H8" s="4"/>
      <c r="I8" s="4"/>
      <c r="J8" s="4"/>
      <c r="K8" s="6">
        <v>3</v>
      </c>
      <c r="L8" s="6" t="str">
        <f>VLOOKUP(K8, 'Maturity Scale'!A:B,2,FALSE)</f>
        <v>Repeatable</v>
      </c>
      <c r="M8" s="7">
        <v>3</v>
      </c>
      <c r="N8" s="7" t="str">
        <f>VLOOKUP(M8,'Maturity Scale'!A:B,2,FALSE)</f>
        <v>Repeatable</v>
      </c>
      <c r="O8" s="15">
        <f>M8-K8</f>
        <v>0</v>
      </c>
      <c r="P8" s="18" t="s">
        <v>509</v>
      </c>
      <c r="Q8" s="18"/>
      <c r="U8">
        <f t="shared" si="1"/>
        <v>0</v>
      </c>
      <c r="V8">
        <f t="shared" si="2"/>
        <v>0</v>
      </c>
      <c r="W8" t="str" cm="1">
        <f t="array" ref="W8">_xlfn.IFS(V8&gt;20,"P1: Critical",15&lt;V8&lt;20,"P2: High",V8&lt;10&lt;15,"P3:Medium",V8&lt;10,"P4: Low")</f>
        <v>P4: Low</v>
      </c>
    </row>
    <row r="9" spans="1:24" ht="96" customHeight="1" x14ac:dyDescent="0.35">
      <c r="A9" s="4" t="s">
        <v>14</v>
      </c>
      <c r="B9" s="4" t="s">
        <v>39</v>
      </c>
      <c r="C9" s="4" t="s">
        <v>44</v>
      </c>
      <c r="D9" s="5" t="s">
        <v>45</v>
      </c>
      <c r="E9" s="4" t="s">
        <v>46</v>
      </c>
      <c r="F9" s="11" t="s">
        <v>47</v>
      </c>
      <c r="G9" s="4" t="s">
        <v>20</v>
      </c>
      <c r="H9" s="4"/>
      <c r="I9" s="4"/>
      <c r="J9" s="4"/>
      <c r="K9" s="6">
        <v>2</v>
      </c>
      <c r="L9" s="6" t="str">
        <f>VLOOKUP(K9, 'Maturity Scale'!A:B,2,FALSE)</f>
        <v>Risk Informed</v>
      </c>
      <c r="M9" s="7">
        <v>3</v>
      </c>
      <c r="N9" s="7" t="str">
        <f>VLOOKUP(M9,'Maturity Scale'!A:B,2,FALSE)</f>
        <v>Repeatable</v>
      </c>
      <c r="O9" s="15">
        <f t="shared" si="0"/>
        <v>1</v>
      </c>
      <c r="P9" s="18" t="s">
        <v>513</v>
      </c>
      <c r="Q9" s="18"/>
      <c r="U9">
        <f t="shared" si="1"/>
        <v>0</v>
      </c>
      <c r="V9">
        <f t="shared" si="2"/>
        <v>0</v>
      </c>
      <c r="W9" t="str" cm="1">
        <f t="array" ref="W9">_xlfn.IFS(V9&gt;20,"P1: Critical",15&lt;V9&lt;20,"P2: High",V9&lt;10&lt;15,"P3:Medium",V9&lt;10,"P4: Low")</f>
        <v>P4: Low</v>
      </c>
    </row>
    <row r="10" spans="1:24" ht="112" customHeight="1" x14ac:dyDescent="0.35">
      <c r="A10" s="4" t="s">
        <v>14</v>
      </c>
      <c r="B10" s="4" t="s">
        <v>39</v>
      </c>
      <c r="C10" s="4" t="s">
        <v>48</v>
      </c>
      <c r="D10" s="5" t="s">
        <v>49</v>
      </c>
      <c r="E10" s="4" t="s">
        <v>50</v>
      </c>
      <c r="F10" s="11" t="s">
        <v>51</v>
      </c>
      <c r="G10" s="4" t="s">
        <v>20</v>
      </c>
      <c r="H10" s="4"/>
      <c r="I10" s="4"/>
      <c r="J10" s="4"/>
      <c r="K10" s="6">
        <v>3</v>
      </c>
      <c r="L10" s="6" t="str">
        <f>VLOOKUP(K10, 'Maturity Scale'!A:B,2,FALSE)</f>
        <v>Repeatable</v>
      </c>
      <c r="M10" s="7">
        <v>3</v>
      </c>
      <c r="N10" s="7" t="str">
        <f>VLOOKUP(M10,'Maturity Scale'!A:B,2,FALSE)</f>
        <v>Repeatable</v>
      </c>
      <c r="O10" s="15">
        <f t="shared" si="0"/>
        <v>0</v>
      </c>
      <c r="P10" s="18" t="s">
        <v>510</v>
      </c>
      <c r="Q10" s="18"/>
      <c r="U10">
        <f t="shared" si="1"/>
        <v>0</v>
      </c>
      <c r="V10">
        <f t="shared" si="2"/>
        <v>0</v>
      </c>
      <c r="W10" t="str" cm="1">
        <f t="array" ref="W10">_xlfn.IFS(V10&gt;20,"P1: Critical",15&lt;V10&lt;20,"P2: High",V10&lt;10&lt;15,"P3:Medium",V10&lt;10,"P4: Low")</f>
        <v>P4: Low</v>
      </c>
    </row>
    <row r="11" spans="1:24" ht="112" customHeight="1" x14ac:dyDescent="0.35">
      <c r="A11" s="4" t="s">
        <v>14</v>
      </c>
      <c r="B11" s="4" t="s">
        <v>39</v>
      </c>
      <c r="C11" s="4" t="s">
        <v>52</v>
      </c>
      <c r="D11" s="5" t="s">
        <v>53</v>
      </c>
      <c r="E11" s="4" t="s">
        <v>54</v>
      </c>
      <c r="F11" s="11" t="s">
        <v>55</v>
      </c>
      <c r="G11" s="4" t="s">
        <v>20</v>
      </c>
      <c r="H11" s="4"/>
      <c r="I11" s="4"/>
      <c r="J11" s="4"/>
      <c r="K11" s="6">
        <v>3</v>
      </c>
      <c r="L11" s="6" t="str">
        <f>VLOOKUP(K11, 'Maturity Scale'!A:B,2,FALSE)</f>
        <v>Repeatable</v>
      </c>
      <c r="M11" s="7">
        <v>3</v>
      </c>
      <c r="N11" s="7" t="str">
        <f>VLOOKUP(M11,'Maturity Scale'!A:B,2,FALSE)</f>
        <v>Repeatable</v>
      </c>
      <c r="O11" s="15">
        <f t="shared" si="0"/>
        <v>0</v>
      </c>
      <c r="P11" s="18" t="s">
        <v>511</v>
      </c>
      <c r="Q11" s="18"/>
      <c r="U11">
        <f t="shared" si="1"/>
        <v>0</v>
      </c>
      <c r="V11">
        <f t="shared" si="2"/>
        <v>0</v>
      </c>
      <c r="W11" t="str" cm="1">
        <f t="array" ref="W11">_xlfn.IFS(V11&gt;20,"P1: Critical",15&lt;V11&lt;20,"P2: High",V11&lt;10&lt;15,"P3:Medium",V11&lt;10,"P4: Low")</f>
        <v>P4: Low</v>
      </c>
    </row>
    <row r="12" spans="1:24" ht="112" customHeight="1" x14ac:dyDescent="0.35">
      <c r="A12" s="4" t="s">
        <v>14</v>
      </c>
      <c r="B12" s="4" t="s">
        <v>39</v>
      </c>
      <c r="C12" s="4" t="s">
        <v>56</v>
      </c>
      <c r="D12" s="5" t="s">
        <v>57</v>
      </c>
      <c r="E12" s="4" t="s">
        <v>58</v>
      </c>
      <c r="F12" s="11" t="s">
        <v>59</v>
      </c>
      <c r="G12" s="4" t="s">
        <v>20</v>
      </c>
      <c r="H12" s="4"/>
      <c r="I12" s="4"/>
      <c r="J12" s="4"/>
      <c r="K12" s="6">
        <v>1</v>
      </c>
      <c r="L12" s="6" t="str">
        <f>VLOOKUP(K12, 'Maturity Scale'!A:B,2,FALSE)</f>
        <v>Partial</v>
      </c>
      <c r="M12" s="7">
        <v>3</v>
      </c>
      <c r="N12" s="7" t="str">
        <f>VLOOKUP(M12,'Maturity Scale'!A:B,2,FALSE)</f>
        <v>Repeatable</v>
      </c>
      <c r="O12" s="15">
        <f t="shared" si="0"/>
        <v>2</v>
      </c>
      <c r="P12" s="18" t="s">
        <v>512</v>
      </c>
      <c r="Q12" s="18"/>
      <c r="U12">
        <f t="shared" si="1"/>
        <v>0</v>
      </c>
      <c r="V12">
        <f t="shared" si="2"/>
        <v>0</v>
      </c>
      <c r="W12" t="str" cm="1">
        <f t="array" ref="W12">_xlfn.IFS(V12&gt;20,"P1: Critical",15&lt;V12&lt;20,"P2: High",V12&lt;10&lt;15,"P3:Medium",V12&lt;10,"P4: Low")</f>
        <v>P4: Low</v>
      </c>
    </row>
    <row r="13" spans="1:24" ht="144" customHeight="1" x14ac:dyDescent="0.35">
      <c r="A13" s="4" t="s">
        <v>14</v>
      </c>
      <c r="B13" s="4" t="s">
        <v>39</v>
      </c>
      <c r="C13" s="4" t="s">
        <v>60</v>
      </c>
      <c r="D13" s="5" t="s">
        <v>61</v>
      </c>
      <c r="E13" s="4" t="s">
        <v>62</v>
      </c>
      <c r="F13" s="11" t="s">
        <v>63</v>
      </c>
      <c r="G13" s="4" t="s">
        <v>20</v>
      </c>
      <c r="H13" s="4"/>
      <c r="I13" s="4"/>
      <c r="J13" s="4"/>
      <c r="K13" s="6">
        <v>2</v>
      </c>
      <c r="L13" s="6" t="str">
        <f>VLOOKUP(K13, 'Maturity Scale'!A:B,2,FALSE)</f>
        <v>Risk Informed</v>
      </c>
      <c r="M13" s="7">
        <v>3</v>
      </c>
      <c r="N13" s="7" t="str">
        <f>VLOOKUP(M13,'Maturity Scale'!A:B,2,FALSE)</f>
        <v>Repeatable</v>
      </c>
      <c r="O13" s="15">
        <f t="shared" si="0"/>
        <v>1</v>
      </c>
      <c r="P13" s="18" t="s">
        <v>514</v>
      </c>
      <c r="Q13" s="18"/>
      <c r="U13">
        <f t="shared" si="1"/>
        <v>0</v>
      </c>
      <c r="V13">
        <f t="shared" si="2"/>
        <v>0</v>
      </c>
      <c r="W13" t="str" cm="1">
        <f t="array" ref="W13">_xlfn.IFS(V13&gt;20,"P1: Critical",15&lt;V13&lt;20,"P2: High",V13&lt;10&lt;15,"P3:Medium",V13&lt;10,"P4: Low")</f>
        <v>P4: Low</v>
      </c>
    </row>
    <row r="14" spans="1:24" ht="96" customHeight="1" x14ac:dyDescent="0.35">
      <c r="A14" s="4" t="s">
        <v>14</v>
      </c>
      <c r="B14" s="4" t="s">
        <v>39</v>
      </c>
      <c r="C14" s="4" t="s">
        <v>64</v>
      </c>
      <c r="D14" s="5" t="s">
        <v>65</v>
      </c>
      <c r="E14" s="4" t="s">
        <v>66</v>
      </c>
      <c r="F14" s="11" t="s">
        <v>67</v>
      </c>
      <c r="G14" s="4" t="s">
        <v>20</v>
      </c>
      <c r="H14" s="4"/>
      <c r="I14" s="4"/>
      <c r="J14" s="4"/>
      <c r="K14" s="6">
        <v>1</v>
      </c>
      <c r="L14" s="6" t="str">
        <f>VLOOKUP(K14, 'Maturity Scale'!A:B,2,FALSE)</f>
        <v>Partial</v>
      </c>
      <c r="M14" s="7">
        <v>3</v>
      </c>
      <c r="N14" s="7" t="str">
        <f>VLOOKUP(M14,'Maturity Scale'!A:B,2,FALSE)</f>
        <v>Repeatable</v>
      </c>
      <c r="O14" s="15">
        <f t="shared" si="0"/>
        <v>2</v>
      </c>
      <c r="P14" s="18" t="s">
        <v>515</v>
      </c>
      <c r="Q14" s="18"/>
      <c r="U14">
        <f t="shared" si="1"/>
        <v>0</v>
      </c>
      <c r="V14">
        <f t="shared" si="2"/>
        <v>0</v>
      </c>
      <c r="W14" t="str" cm="1">
        <f t="array" ref="W14">_xlfn.IFS(V14&gt;20,"P1: Critical",15&lt;V14&lt;20,"P2: High",V14&lt;10&lt;15,"P3:Medium",V14&lt;10,"P4: Low")</f>
        <v>P4: Low</v>
      </c>
    </row>
    <row r="15" spans="1:24" ht="176" customHeight="1" x14ac:dyDescent="0.35">
      <c r="A15" s="4" t="s">
        <v>14</v>
      </c>
      <c r="B15" s="4" t="s">
        <v>68</v>
      </c>
      <c r="C15" s="4" t="s">
        <v>69</v>
      </c>
      <c r="D15" s="5" t="s">
        <v>70</v>
      </c>
      <c r="E15" s="4" t="s">
        <v>71</v>
      </c>
      <c r="F15" s="11" t="s">
        <v>72</v>
      </c>
      <c r="G15" s="4" t="s">
        <v>20</v>
      </c>
      <c r="H15" s="4"/>
      <c r="I15" s="4"/>
      <c r="J15" s="4"/>
      <c r="K15" s="6">
        <v>3</v>
      </c>
      <c r="L15" s="6" t="str">
        <f>VLOOKUP(K15, 'Maturity Scale'!A:B,2,FALSE)</f>
        <v>Repeatable</v>
      </c>
      <c r="M15" s="7">
        <v>3</v>
      </c>
      <c r="N15" s="7" t="str">
        <f>VLOOKUP(M15,'Maturity Scale'!A:B,2,FALSE)</f>
        <v>Repeatable</v>
      </c>
      <c r="O15" s="15">
        <f t="shared" si="0"/>
        <v>0</v>
      </c>
      <c r="P15" s="18" t="s">
        <v>516</v>
      </c>
      <c r="Q15" s="18"/>
      <c r="U15">
        <f t="shared" si="1"/>
        <v>0</v>
      </c>
      <c r="V15">
        <f t="shared" si="2"/>
        <v>0</v>
      </c>
      <c r="W15" t="str" cm="1">
        <f t="array" ref="W15">_xlfn.IFS(V15&gt;20,"P1: Critical",15&lt;V15&lt;20,"P2: High",V15&lt;10&lt;15,"P3:Medium",V15&lt;10,"P4: Low")</f>
        <v>P4: Low</v>
      </c>
    </row>
    <row r="16" spans="1:24" ht="176" customHeight="1" x14ac:dyDescent="0.35">
      <c r="A16" s="4" t="s">
        <v>14</v>
      </c>
      <c r="B16" s="4" t="s">
        <v>68</v>
      </c>
      <c r="C16" s="4" t="s">
        <v>73</v>
      </c>
      <c r="D16" s="5" t="s">
        <v>74</v>
      </c>
      <c r="E16" s="4" t="s">
        <v>75</v>
      </c>
      <c r="F16" s="11" t="s">
        <v>76</v>
      </c>
      <c r="G16" s="4" t="s">
        <v>20</v>
      </c>
      <c r="H16" s="4"/>
      <c r="I16" s="4"/>
      <c r="J16" s="4"/>
      <c r="K16" s="6">
        <v>3</v>
      </c>
      <c r="L16" s="6" t="str">
        <f>VLOOKUP(K16, 'Maturity Scale'!A:B,2,FALSE)</f>
        <v>Repeatable</v>
      </c>
      <c r="M16" s="7">
        <v>3</v>
      </c>
      <c r="N16" s="7" t="str">
        <f>VLOOKUP(M16,'Maturity Scale'!A:B,2,FALSE)</f>
        <v>Repeatable</v>
      </c>
      <c r="O16" s="15">
        <f t="shared" si="0"/>
        <v>0</v>
      </c>
      <c r="P16" s="18" t="s">
        <v>517</v>
      </c>
      <c r="Q16" s="18"/>
      <c r="U16">
        <f t="shared" si="1"/>
        <v>0</v>
      </c>
      <c r="V16">
        <f t="shared" si="2"/>
        <v>0</v>
      </c>
      <c r="W16" t="str" cm="1">
        <f t="array" ref="W16">_xlfn.IFS(V16&gt;20,"P1: Critical",15&lt;V16&lt;20,"P2: High",V16&lt;10&lt;15,"P3:Medium",V16&lt;10,"P4: Low")</f>
        <v>P4: Low</v>
      </c>
    </row>
    <row r="17" spans="1:23" ht="144" customHeight="1" x14ac:dyDescent="0.35">
      <c r="A17" s="4" t="s">
        <v>14</v>
      </c>
      <c r="B17" s="4" t="s">
        <v>68</v>
      </c>
      <c r="C17" s="4" t="s">
        <v>77</v>
      </c>
      <c r="D17" s="5" t="s">
        <v>78</v>
      </c>
      <c r="E17" s="4" t="s">
        <v>79</v>
      </c>
      <c r="F17" s="11" t="s">
        <v>80</v>
      </c>
      <c r="G17" s="4" t="s">
        <v>20</v>
      </c>
      <c r="H17" s="4"/>
      <c r="I17" s="4"/>
      <c r="J17" s="4"/>
      <c r="K17" s="6">
        <v>1</v>
      </c>
      <c r="L17" s="6" t="str">
        <f>VLOOKUP(K17, 'Maturity Scale'!A:B,2,FALSE)</f>
        <v>Partial</v>
      </c>
      <c r="M17" s="7">
        <v>3</v>
      </c>
      <c r="N17" s="7" t="str">
        <f>VLOOKUP(M17,'Maturity Scale'!A:B,2,FALSE)</f>
        <v>Repeatable</v>
      </c>
      <c r="O17" s="15">
        <f t="shared" si="0"/>
        <v>2</v>
      </c>
      <c r="P17" s="18" t="s">
        <v>518</v>
      </c>
      <c r="Q17" s="18"/>
      <c r="U17">
        <f t="shared" si="1"/>
        <v>0</v>
      </c>
      <c r="V17">
        <f t="shared" si="2"/>
        <v>0</v>
      </c>
      <c r="W17" t="str" cm="1">
        <f t="array" ref="W17">_xlfn.IFS(V17&gt;20,"P1: Critical",15&lt;V17&lt;20,"P2: High",V17&lt;10&lt;15,"P3:Medium",V17&lt;10,"P4: Low")</f>
        <v>P4: Low</v>
      </c>
    </row>
    <row r="18" spans="1:23" ht="160" customHeight="1" x14ac:dyDescent="0.35">
      <c r="A18" s="4" t="s">
        <v>14</v>
      </c>
      <c r="B18" s="4" t="s">
        <v>68</v>
      </c>
      <c r="C18" s="4" t="s">
        <v>81</v>
      </c>
      <c r="D18" s="5" t="s">
        <v>82</v>
      </c>
      <c r="E18" s="4" t="s">
        <v>83</v>
      </c>
      <c r="F18" s="11" t="s">
        <v>84</v>
      </c>
      <c r="G18" s="4" t="s">
        <v>85</v>
      </c>
      <c r="H18" s="4"/>
      <c r="I18" s="4"/>
      <c r="J18" s="4"/>
      <c r="K18" s="6">
        <v>1</v>
      </c>
      <c r="L18" s="6" t="str">
        <f>VLOOKUP(K18, 'Maturity Scale'!A:B,2,FALSE)</f>
        <v>Partial</v>
      </c>
      <c r="M18" s="7">
        <v>3</v>
      </c>
      <c r="N18" s="7" t="str">
        <f>VLOOKUP(M18,'Maturity Scale'!A:B,2,FALSE)</f>
        <v>Repeatable</v>
      </c>
      <c r="O18" s="15">
        <f t="shared" si="0"/>
        <v>2</v>
      </c>
      <c r="P18" s="18" t="s">
        <v>519</v>
      </c>
      <c r="Q18" s="18"/>
      <c r="U18">
        <f t="shared" si="1"/>
        <v>0</v>
      </c>
      <c r="V18">
        <f t="shared" si="2"/>
        <v>0</v>
      </c>
      <c r="W18" t="str" cm="1">
        <f t="array" ref="W18">_xlfn.IFS(V18&gt;20,"P1: Critical",15&lt;V18&lt;20,"P2: High",V18&lt;10&lt;15,"P3:Medium",V18&lt;10,"P4: Low")</f>
        <v>P4: Low</v>
      </c>
    </row>
    <row r="19" spans="1:23" ht="192" customHeight="1" x14ac:dyDescent="0.35">
      <c r="A19" s="4" t="s">
        <v>14</v>
      </c>
      <c r="B19" s="4" t="s">
        <v>86</v>
      </c>
      <c r="C19" s="4" t="s">
        <v>87</v>
      </c>
      <c r="D19" s="5" t="s">
        <v>88</v>
      </c>
      <c r="E19" s="4" t="s">
        <v>89</v>
      </c>
      <c r="F19" s="11" t="s">
        <v>90</v>
      </c>
      <c r="G19" s="4" t="s">
        <v>20</v>
      </c>
      <c r="H19" s="4"/>
      <c r="I19" s="4"/>
      <c r="J19" s="4"/>
      <c r="K19" s="6">
        <v>3</v>
      </c>
      <c r="L19" s="6" t="str">
        <f>VLOOKUP(K19, 'Maturity Scale'!A:B,2,FALSE)</f>
        <v>Repeatable</v>
      </c>
      <c r="M19" s="7">
        <v>3</v>
      </c>
      <c r="N19" s="7" t="str">
        <f>VLOOKUP(M19,'Maturity Scale'!A:B,2,FALSE)</f>
        <v>Repeatable</v>
      </c>
      <c r="O19" s="15">
        <f t="shared" si="0"/>
        <v>0</v>
      </c>
      <c r="P19" s="18" t="s">
        <v>520</v>
      </c>
      <c r="Q19" s="18"/>
      <c r="U19">
        <f t="shared" si="1"/>
        <v>0</v>
      </c>
      <c r="V19">
        <f t="shared" si="2"/>
        <v>0</v>
      </c>
      <c r="W19" t="str" cm="1">
        <f t="array" ref="W19">_xlfn.IFS(V19&gt;20,"P1: Critical",15&lt;V19&lt;20,"P2: High",V19&lt;10&lt;15,"P3:Medium",V19&lt;10,"P4: Low")</f>
        <v>P4: Low</v>
      </c>
    </row>
    <row r="20" spans="1:23" ht="176" customHeight="1" x14ac:dyDescent="0.35">
      <c r="A20" s="4" t="s">
        <v>14</v>
      </c>
      <c r="B20" s="4" t="s">
        <v>86</v>
      </c>
      <c r="C20" s="4" t="s">
        <v>91</v>
      </c>
      <c r="D20" s="5" t="s">
        <v>92</v>
      </c>
      <c r="E20" s="4" t="s">
        <v>93</v>
      </c>
      <c r="F20" s="11" t="s">
        <v>94</v>
      </c>
      <c r="G20" s="4" t="s">
        <v>20</v>
      </c>
      <c r="H20" s="4"/>
      <c r="I20" s="4"/>
      <c r="J20" s="4"/>
      <c r="K20" s="6">
        <v>2</v>
      </c>
      <c r="L20" s="6" t="str">
        <f>VLOOKUP(K20, 'Maturity Scale'!A:B,2,FALSE)</f>
        <v>Risk Informed</v>
      </c>
      <c r="M20" s="7">
        <v>3</v>
      </c>
      <c r="N20" s="7" t="str">
        <f>VLOOKUP(M20,'Maturity Scale'!A:B,2,FALSE)</f>
        <v>Repeatable</v>
      </c>
      <c r="O20" s="15">
        <f t="shared" si="0"/>
        <v>1</v>
      </c>
      <c r="P20" s="18" t="s">
        <v>521</v>
      </c>
      <c r="Q20" s="18"/>
      <c r="U20">
        <f t="shared" si="1"/>
        <v>0</v>
      </c>
      <c r="V20">
        <f t="shared" si="2"/>
        <v>0</v>
      </c>
      <c r="W20" t="str" cm="1">
        <f t="array" ref="W20">_xlfn.IFS(V20&gt;20,"P1: Critical",15&lt;V20&lt;20,"P2: High",V20&lt;10&lt;15,"P3:Medium",V20&lt;10,"P4: Low")</f>
        <v>P4: Low</v>
      </c>
    </row>
    <row r="21" spans="1:23" ht="128" customHeight="1" x14ac:dyDescent="0.35">
      <c r="A21" s="4" t="s">
        <v>14</v>
      </c>
      <c r="B21" s="4" t="s">
        <v>95</v>
      </c>
      <c r="C21" s="4" t="s">
        <v>96</v>
      </c>
      <c r="D21" s="5" t="s">
        <v>97</v>
      </c>
      <c r="E21" s="4" t="s">
        <v>98</v>
      </c>
      <c r="F21" s="11" t="s">
        <v>99</v>
      </c>
      <c r="G21" s="4" t="s">
        <v>20</v>
      </c>
      <c r="H21" s="4"/>
      <c r="I21" s="4"/>
      <c r="J21" s="4"/>
      <c r="K21" s="6" t="s">
        <v>522</v>
      </c>
      <c r="L21" s="6" t="str">
        <f>VLOOKUP(K21, 'Maturity Scale'!A:B,2,FALSE)</f>
        <v>TBD</v>
      </c>
      <c r="M21" s="7" t="s">
        <v>522</v>
      </c>
      <c r="N21" s="7" t="str">
        <f>VLOOKUP(M21,'Maturity Scale'!A:B,2,FALSE)</f>
        <v>TBD</v>
      </c>
      <c r="O21" s="15" t="e">
        <f>M21-K21</f>
        <v>#VALUE!</v>
      </c>
      <c r="P21" s="18"/>
      <c r="Q21" s="18"/>
      <c r="U21">
        <f t="shared" si="1"/>
        <v>0</v>
      </c>
      <c r="V21">
        <f t="shared" si="2"/>
        <v>0</v>
      </c>
      <c r="W21" t="str" cm="1">
        <f t="array" ref="W21">_xlfn.IFS(V21&gt;20,"P1: Critical",15&lt;V21&lt;20,"P2: High",V21&lt;10&lt;15,"P3:Medium",V21&lt;10,"P4: Low")</f>
        <v>P4: Low</v>
      </c>
    </row>
    <row r="22" spans="1:23" ht="144" customHeight="1" x14ac:dyDescent="0.35">
      <c r="A22" s="4" t="s">
        <v>14</v>
      </c>
      <c r="B22" s="4" t="s">
        <v>95</v>
      </c>
      <c r="C22" s="4" t="s">
        <v>100</v>
      </c>
      <c r="D22" s="5" t="s">
        <v>101</v>
      </c>
      <c r="E22" s="4" t="s">
        <v>102</v>
      </c>
      <c r="F22" s="11" t="s">
        <v>103</v>
      </c>
      <c r="G22" s="4" t="s">
        <v>20</v>
      </c>
      <c r="H22" s="4"/>
      <c r="I22" s="4"/>
      <c r="J22" s="4"/>
      <c r="K22" s="6" t="s">
        <v>522</v>
      </c>
      <c r="L22" s="6" t="str">
        <f>VLOOKUP(K22, 'Maturity Scale'!A:B,2,FALSE)</f>
        <v>TBD</v>
      </c>
      <c r="M22" s="7" t="s">
        <v>522</v>
      </c>
      <c r="N22" s="7" t="str">
        <f>VLOOKUP(M22,'Maturity Scale'!A:B,2,FALSE)</f>
        <v>TBD</v>
      </c>
      <c r="O22" s="15" t="e">
        <f t="shared" si="0"/>
        <v>#VALUE!</v>
      </c>
      <c r="P22" s="18"/>
      <c r="Q22" s="18"/>
      <c r="U22">
        <f t="shared" si="1"/>
        <v>0</v>
      </c>
      <c r="V22">
        <f t="shared" si="2"/>
        <v>0</v>
      </c>
      <c r="W22" t="str" cm="1">
        <f t="array" ref="W22">_xlfn.IFS(V22&gt;20,"P1: Critical",15&lt;V22&lt;20,"P2: High",V22&lt;10&lt;15,"P3:Medium",V22&lt;10,"P4: Low")</f>
        <v>P4: Low</v>
      </c>
    </row>
    <row r="23" spans="1:23" ht="144" customHeight="1" x14ac:dyDescent="0.35">
      <c r="A23" s="4" t="s">
        <v>14</v>
      </c>
      <c r="B23" s="4" t="s">
        <v>95</v>
      </c>
      <c r="C23" s="4" t="s">
        <v>104</v>
      </c>
      <c r="D23" s="5" t="s">
        <v>105</v>
      </c>
      <c r="E23" s="4" t="s">
        <v>106</v>
      </c>
      <c r="F23" s="11" t="s">
        <v>107</v>
      </c>
      <c r="G23" s="4" t="s">
        <v>20</v>
      </c>
      <c r="H23" s="4"/>
      <c r="I23" s="4"/>
      <c r="J23" s="4"/>
      <c r="K23" s="6">
        <v>2</v>
      </c>
      <c r="L23" s="6" t="str">
        <f>VLOOKUP(K23, 'Maturity Scale'!A:B,2,FALSE)</f>
        <v>Risk Informed</v>
      </c>
      <c r="M23" s="7">
        <v>3</v>
      </c>
      <c r="N23" s="7" t="str">
        <f>VLOOKUP(M23,'Maturity Scale'!A:B,2,FALSE)</f>
        <v>Repeatable</v>
      </c>
      <c r="O23" s="15">
        <f t="shared" si="0"/>
        <v>1</v>
      </c>
      <c r="P23" s="18" t="s">
        <v>523</v>
      </c>
      <c r="Q23" s="18"/>
      <c r="U23">
        <f t="shared" si="1"/>
        <v>0</v>
      </c>
      <c r="V23">
        <f t="shared" si="2"/>
        <v>0</v>
      </c>
      <c r="W23" t="str" cm="1">
        <f t="array" ref="W23">_xlfn.IFS(V23&gt;20,"P1: Critical",15&lt;V23&lt;20,"P2: High",V23&lt;10&lt;15,"P3:Medium",V23&lt;10,"P4: Low")</f>
        <v>P4: Low</v>
      </c>
    </row>
    <row r="24" spans="1:23" ht="208" customHeight="1" x14ac:dyDescent="0.35">
      <c r="A24" s="4" t="s">
        <v>14</v>
      </c>
      <c r="B24" s="4" t="s">
        <v>108</v>
      </c>
      <c r="C24" s="4" t="s">
        <v>109</v>
      </c>
      <c r="D24" s="5" t="s">
        <v>110</v>
      </c>
      <c r="E24" s="4" t="s">
        <v>111</v>
      </c>
      <c r="F24" s="11" t="s">
        <v>112</v>
      </c>
      <c r="G24" s="4" t="s">
        <v>20</v>
      </c>
      <c r="H24" s="4"/>
      <c r="I24" s="4"/>
      <c r="J24" s="4"/>
      <c r="K24" s="6">
        <v>1</v>
      </c>
      <c r="L24" s="6" t="str">
        <f>VLOOKUP(K24, 'Maturity Scale'!A:B,2,FALSE)</f>
        <v>Partial</v>
      </c>
      <c r="M24" s="7">
        <v>3</v>
      </c>
      <c r="N24" s="7" t="str">
        <f>VLOOKUP(M24,'Maturity Scale'!A:B,2,FALSE)</f>
        <v>Repeatable</v>
      </c>
      <c r="O24" s="15">
        <f t="shared" si="0"/>
        <v>2</v>
      </c>
      <c r="P24" s="18" t="s">
        <v>524</v>
      </c>
      <c r="Q24" s="18"/>
      <c r="U24">
        <f t="shared" si="1"/>
        <v>0</v>
      </c>
      <c r="V24">
        <f t="shared" si="2"/>
        <v>0</v>
      </c>
      <c r="W24" t="str" cm="1">
        <f t="array" ref="W24">_xlfn.IFS(V24&gt;20,"P1: Critical",15&lt;V24&lt;20,"P2: High",V24&lt;10&lt;15,"P3:Medium",V24&lt;10,"P4: Low")</f>
        <v>P4: Low</v>
      </c>
    </row>
    <row r="25" spans="1:23" ht="368" customHeight="1" x14ac:dyDescent="0.35">
      <c r="A25" s="4" t="s">
        <v>14</v>
      </c>
      <c r="B25" s="4" t="s">
        <v>108</v>
      </c>
      <c r="C25" s="4" t="s">
        <v>113</v>
      </c>
      <c r="D25" s="5" t="s">
        <v>114</v>
      </c>
      <c r="E25" s="4" t="s">
        <v>115</v>
      </c>
      <c r="F25" s="11" t="s">
        <v>116</v>
      </c>
      <c r="G25" s="4" t="s">
        <v>20</v>
      </c>
      <c r="H25" s="4"/>
      <c r="I25" s="4"/>
      <c r="J25" s="4"/>
      <c r="K25" s="6">
        <v>1</v>
      </c>
      <c r="L25" s="6" t="str">
        <f>VLOOKUP(K25, 'Maturity Scale'!A:B,2,FALSE)</f>
        <v>Partial</v>
      </c>
      <c r="M25" s="7">
        <v>3</v>
      </c>
      <c r="N25" s="7" t="str">
        <f>VLOOKUP(M25,'Maturity Scale'!A:B,2,FALSE)</f>
        <v>Repeatable</v>
      </c>
      <c r="O25" s="15">
        <f t="shared" si="0"/>
        <v>2</v>
      </c>
      <c r="P25" s="18" t="s">
        <v>524</v>
      </c>
      <c r="Q25" s="18"/>
      <c r="U25">
        <f t="shared" si="1"/>
        <v>0</v>
      </c>
      <c r="V25">
        <f t="shared" si="2"/>
        <v>0</v>
      </c>
      <c r="W25" t="str" cm="1">
        <f t="array" ref="W25">_xlfn.IFS(V25&gt;20,"P1: Critical",15&lt;V25&lt;20,"P2: High",V25&lt;10&lt;15,"P3:Medium",V25&lt;10,"P4: Low")</f>
        <v>P4: Low</v>
      </c>
    </row>
    <row r="26" spans="1:23" ht="144" customHeight="1" x14ac:dyDescent="0.35">
      <c r="A26" s="4" t="s">
        <v>14</v>
      </c>
      <c r="B26" s="4" t="s">
        <v>108</v>
      </c>
      <c r="C26" s="4" t="s">
        <v>117</v>
      </c>
      <c r="D26" s="5" t="s">
        <v>118</v>
      </c>
      <c r="E26" s="4" t="s">
        <v>119</v>
      </c>
      <c r="F26" s="11" t="s">
        <v>120</v>
      </c>
      <c r="G26" s="4" t="s">
        <v>20</v>
      </c>
      <c r="H26" s="4"/>
      <c r="I26" s="4"/>
      <c r="J26" s="4"/>
      <c r="K26" s="6">
        <v>1</v>
      </c>
      <c r="L26" s="6" t="str">
        <f>VLOOKUP(K26, 'Maturity Scale'!A:B,2,FALSE)</f>
        <v>Partial</v>
      </c>
      <c r="M26" s="7">
        <v>3</v>
      </c>
      <c r="N26" s="7" t="str">
        <f>VLOOKUP(M26,'Maturity Scale'!A:B,2,FALSE)</f>
        <v>Repeatable</v>
      </c>
      <c r="O26" s="15">
        <f t="shared" si="0"/>
        <v>2</v>
      </c>
      <c r="P26" s="18" t="s">
        <v>524</v>
      </c>
      <c r="Q26" s="18"/>
      <c r="U26">
        <f t="shared" si="1"/>
        <v>0</v>
      </c>
      <c r="V26">
        <f t="shared" si="2"/>
        <v>0</v>
      </c>
      <c r="W26" t="str" cm="1">
        <f t="array" ref="W26">_xlfn.IFS(V26&gt;20,"P1: Critical",15&lt;V26&lt;20,"P2: High",V26&lt;10&lt;15,"P3:Medium",V26&lt;10,"P4: Low")</f>
        <v>P4: Low</v>
      </c>
    </row>
    <row r="27" spans="1:23" ht="96" customHeight="1" x14ac:dyDescent="0.35">
      <c r="A27" s="4" t="s">
        <v>14</v>
      </c>
      <c r="B27" s="4" t="s">
        <v>108</v>
      </c>
      <c r="C27" s="4" t="s">
        <v>121</v>
      </c>
      <c r="D27" s="5" t="s">
        <v>122</v>
      </c>
      <c r="E27" s="4" t="s">
        <v>123</v>
      </c>
      <c r="F27" s="11" t="s">
        <v>124</v>
      </c>
      <c r="G27" s="4" t="s">
        <v>125</v>
      </c>
      <c r="H27" s="4"/>
      <c r="I27" s="4"/>
      <c r="J27" s="4"/>
      <c r="K27" s="6">
        <v>3</v>
      </c>
      <c r="L27" s="6" t="str">
        <f>VLOOKUP(K27, 'Maturity Scale'!A:B,2,FALSE)</f>
        <v>Repeatable</v>
      </c>
      <c r="M27" s="7">
        <v>3</v>
      </c>
      <c r="N27" s="7" t="str">
        <f>VLOOKUP(M27,'Maturity Scale'!A:B,2,FALSE)</f>
        <v>Repeatable</v>
      </c>
      <c r="O27" s="15">
        <f t="shared" si="0"/>
        <v>0</v>
      </c>
      <c r="P27" s="18" t="s">
        <v>534</v>
      </c>
      <c r="Q27" s="18"/>
      <c r="U27">
        <f t="shared" si="1"/>
        <v>0</v>
      </c>
      <c r="V27">
        <f t="shared" si="2"/>
        <v>0</v>
      </c>
      <c r="W27" t="str" cm="1">
        <f t="array" ref="W27">_xlfn.IFS(V27&gt;20,"P1: Critical",15&lt;V27&lt;20,"P2: High",V27&lt;10&lt;15,"P3:Medium",V27&lt;10,"P4: Low")</f>
        <v>P4: Low</v>
      </c>
    </row>
    <row r="28" spans="1:23" ht="409.5" customHeight="1" x14ac:dyDescent="0.35">
      <c r="A28" s="4" t="s">
        <v>14</v>
      </c>
      <c r="B28" s="4" t="s">
        <v>108</v>
      </c>
      <c r="C28" s="4" t="s">
        <v>126</v>
      </c>
      <c r="D28" s="5" t="s">
        <v>127</v>
      </c>
      <c r="E28" s="4" t="s">
        <v>128</v>
      </c>
      <c r="F28" s="11" t="s">
        <v>129</v>
      </c>
      <c r="G28" s="4" t="s">
        <v>125</v>
      </c>
      <c r="H28" s="4"/>
      <c r="I28" s="4"/>
      <c r="J28" s="4"/>
      <c r="K28" s="6">
        <v>2</v>
      </c>
      <c r="L28" s="6" t="str">
        <f>VLOOKUP(K28, 'Maturity Scale'!A:B,2,FALSE)</f>
        <v>Risk Informed</v>
      </c>
      <c r="M28" s="7">
        <v>3</v>
      </c>
      <c r="N28" s="7" t="str">
        <f>VLOOKUP(M28,'Maturity Scale'!A:B,2,FALSE)</f>
        <v>Repeatable</v>
      </c>
      <c r="O28" s="15">
        <f t="shared" si="0"/>
        <v>1</v>
      </c>
      <c r="P28" s="18" t="s">
        <v>533</v>
      </c>
      <c r="Q28" s="18"/>
      <c r="U28">
        <f t="shared" si="1"/>
        <v>0</v>
      </c>
      <c r="V28">
        <f t="shared" si="2"/>
        <v>0</v>
      </c>
      <c r="W28" t="str" cm="1">
        <f t="array" ref="W28">_xlfn.IFS(V28&gt;20,"P1: Critical",15&lt;V28&lt;20,"P2: High",V28&lt;10&lt;15,"P3:Medium",V28&lt;10,"P4: Low")</f>
        <v>P4: Low</v>
      </c>
    </row>
    <row r="29" spans="1:23" ht="144" customHeight="1" x14ac:dyDescent="0.35">
      <c r="A29" s="4" t="s">
        <v>14</v>
      </c>
      <c r="B29" s="4" t="s">
        <v>108</v>
      </c>
      <c r="C29" s="4" t="s">
        <v>130</v>
      </c>
      <c r="D29" s="5" t="s">
        <v>131</v>
      </c>
      <c r="E29" s="4" t="s">
        <v>132</v>
      </c>
      <c r="F29" s="11" t="s">
        <v>133</v>
      </c>
      <c r="G29" s="4" t="s">
        <v>125</v>
      </c>
      <c r="H29" s="4"/>
      <c r="I29" s="4"/>
      <c r="J29" s="4"/>
      <c r="K29" s="6">
        <v>3</v>
      </c>
      <c r="L29" s="6" t="str">
        <f>VLOOKUP(K29, 'Maturity Scale'!A:B,2,FALSE)</f>
        <v>Repeatable</v>
      </c>
      <c r="M29" s="7">
        <v>3</v>
      </c>
      <c r="N29" s="7" t="str">
        <f>VLOOKUP(M29,'Maturity Scale'!A:B,2,FALSE)</f>
        <v>Repeatable</v>
      </c>
      <c r="O29" s="15">
        <f t="shared" si="0"/>
        <v>0</v>
      </c>
      <c r="P29" s="18" t="s">
        <v>532</v>
      </c>
      <c r="Q29" s="18"/>
      <c r="U29">
        <f t="shared" si="1"/>
        <v>0</v>
      </c>
      <c r="V29">
        <f t="shared" si="2"/>
        <v>0</v>
      </c>
      <c r="W29" t="str" cm="1">
        <f t="array" ref="W29">_xlfn.IFS(V29&gt;20,"P1: Critical",15&lt;V29&lt;20,"P2: High",V29&lt;10&lt;15,"P3:Medium",V29&lt;10,"P4: Low")</f>
        <v>P4: Low</v>
      </c>
    </row>
    <row r="30" spans="1:23" ht="240" customHeight="1" x14ac:dyDescent="0.35">
      <c r="A30" s="4" t="s">
        <v>14</v>
      </c>
      <c r="B30" s="4" t="s">
        <v>108</v>
      </c>
      <c r="C30" s="4" t="s">
        <v>134</v>
      </c>
      <c r="D30" s="5" t="s">
        <v>135</v>
      </c>
      <c r="E30" s="4" t="s">
        <v>136</v>
      </c>
      <c r="F30" s="11" t="s">
        <v>137</v>
      </c>
      <c r="G30" s="4" t="s">
        <v>125</v>
      </c>
      <c r="H30" s="4"/>
      <c r="I30" s="4"/>
      <c r="J30" s="4"/>
      <c r="K30" s="6">
        <v>2</v>
      </c>
      <c r="L30" s="6" t="str">
        <f>VLOOKUP(K30, 'Maturity Scale'!A:B,2,FALSE)</f>
        <v>Risk Informed</v>
      </c>
      <c r="M30" s="7">
        <v>3</v>
      </c>
      <c r="N30" s="7" t="str">
        <f>VLOOKUP(M30,'Maturity Scale'!A:B,2,FALSE)</f>
        <v>Repeatable</v>
      </c>
      <c r="O30" s="15">
        <f t="shared" si="0"/>
        <v>1</v>
      </c>
      <c r="P30" s="18" t="s">
        <v>531</v>
      </c>
      <c r="Q30" s="18"/>
      <c r="U30">
        <f t="shared" si="1"/>
        <v>0</v>
      </c>
      <c r="V30">
        <f t="shared" si="2"/>
        <v>0</v>
      </c>
      <c r="W30" t="str" cm="1">
        <f t="array" ref="W30">_xlfn.IFS(V30&gt;20,"P1: Critical",15&lt;V30&lt;20,"P2: High",V30&lt;10&lt;15,"P3:Medium",V30&lt;10,"P4: Low")</f>
        <v>P4: Low</v>
      </c>
    </row>
    <row r="31" spans="1:23" ht="176" customHeight="1" x14ac:dyDescent="0.35">
      <c r="A31" s="4" t="s">
        <v>14</v>
      </c>
      <c r="B31" s="4" t="s">
        <v>108</v>
      </c>
      <c r="C31" s="4" t="s">
        <v>138</v>
      </c>
      <c r="D31" s="5" t="s">
        <v>139</v>
      </c>
      <c r="E31" s="4" t="s">
        <v>140</v>
      </c>
      <c r="F31" s="11" t="s">
        <v>141</v>
      </c>
      <c r="G31" s="4" t="s">
        <v>142</v>
      </c>
      <c r="H31" s="4"/>
      <c r="I31" s="4"/>
      <c r="J31" s="4"/>
      <c r="K31" s="6">
        <v>3</v>
      </c>
      <c r="L31" s="6" t="str">
        <f>VLOOKUP(K31, 'Maturity Scale'!A:B,2,FALSE)</f>
        <v>Repeatable</v>
      </c>
      <c r="M31" s="7">
        <v>3</v>
      </c>
      <c r="N31" s="7" t="str">
        <f>VLOOKUP(M31,'Maturity Scale'!A:B,2,FALSE)</f>
        <v>Repeatable</v>
      </c>
      <c r="O31" s="15">
        <f t="shared" si="0"/>
        <v>0</v>
      </c>
      <c r="P31" s="18" t="s">
        <v>530</v>
      </c>
      <c r="Q31" s="18"/>
      <c r="U31">
        <f t="shared" si="1"/>
        <v>0</v>
      </c>
      <c r="V31">
        <f t="shared" si="2"/>
        <v>0</v>
      </c>
      <c r="W31" t="str" cm="1">
        <f t="array" ref="W31">_xlfn.IFS(V31&gt;20,"P1: Critical",15&lt;V31&lt;20,"P2: High",V31&lt;10&lt;15,"P3:Medium",V31&lt;10,"P4: Low")</f>
        <v>P4: Low</v>
      </c>
    </row>
    <row r="32" spans="1:23" ht="192" customHeight="1" x14ac:dyDescent="0.35">
      <c r="A32" s="4" t="s">
        <v>14</v>
      </c>
      <c r="B32" s="4" t="s">
        <v>108</v>
      </c>
      <c r="C32" s="4" t="s">
        <v>143</v>
      </c>
      <c r="D32" s="5" t="s">
        <v>144</v>
      </c>
      <c r="E32" s="4" t="s">
        <v>145</v>
      </c>
      <c r="F32" s="11" t="s">
        <v>146</v>
      </c>
      <c r="G32" s="4" t="s">
        <v>125</v>
      </c>
      <c r="H32" s="4"/>
      <c r="I32" s="4"/>
      <c r="J32" s="4"/>
      <c r="K32" s="6">
        <v>1</v>
      </c>
      <c r="L32" s="6" t="str">
        <f>VLOOKUP(K32, 'Maturity Scale'!A:B,2,FALSE)</f>
        <v>Partial</v>
      </c>
      <c r="M32" s="7">
        <v>3</v>
      </c>
      <c r="N32" s="7" t="str">
        <f>VLOOKUP(M32,'Maturity Scale'!A:B,2,FALSE)</f>
        <v>Repeatable</v>
      </c>
      <c r="O32" s="15">
        <f t="shared" si="0"/>
        <v>2</v>
      </c>
      <c r="P32" s="18" t="s">
        <v>524</v>
      </c>
      <c r="Q32" s="18"/>
      <c r="U32">
        <f t="shared" si="1"/>
        <v>0</v>
      </c>
      <c r="V32">
        <f t="shared" si="2"/>
        <v>0</v>
      </c>
      <c r="W32" t="str" cm="1">
        <f t="array" ref="W32">_xlfn.IFS(V32&gt;20,"P1: Critical",15&lt;V32&lt;20,"P2: High",V32&lt;10&lt;15,"P3:Medium",V32&lt;10,"P4: Low")</f>
        <v>P4: Low</v>
      </c>
    </row>
    <row r="33" spans="1:23" ht="208" customHeight="1" x14ac:dyDescent="0.35">
      <c r="A33" s="4" t="s">
        <v>14</v>
      </c>
      <c r="B33" s="4" t="s">
        <v>108</v>
      </c>
      <c r="C33" s="4" t="s">
        <v>147</v>
      </c>
      <c r="D33" s="5" t="s">
        <v>148</v>
      </c>
      <c r="E33" s="4" t="s">
        <v>149</v>
      </c>
      <c r="F33" s="11" t="s">
        <v>150</v>
      </c>
      <c r="G33" s="4" t="s">
        <v>125</v>
      </c>
      <c r="H33" s="4"/>
      <c r="I33" s="4"/>
      <c r="J33" s="4"/>
      <c r="K33" s="6">
        <v>2</v>
      </c>
      <c r="L33" s="6" t="str">
        <f>VLOOKUP(K33, 'Maturity Scale'!A:B,2,FALSE)</f>
        <v>Risk Informed</v>
      </c>
      <c r="M33" s="7">
        <v>3</v>
      </c>
      <c r="N33" s="7" t="str">
        <f>VLOOKUP(M33,'Maturity Scale'!A:B,2,FALSE)</f>
        <v>Repeatable</v>
      </c>
      <c r="O33" s="15">
        <f t="shared" si="0"/>
        <v>1</v>
      </c>
      <c r="P33" s="18" t="s">
        <v>529</v>
      </c>
      <c r="Q33" s="18"/>
      <c r="U33">
        <f t="shared" si="1"/>
        <v>0</v>
      </c>
      <c r="V33">
        <f t="shared" si="2"/>
        <v>0</v>
      </c>
      <c r="W33" t="str" cm="1">
        <f t="array" ref="W33">_xlfn.IFS(V33&gt;20,"P1: Critical",15&lt;V33&lt;20,"P2: High",V33&lt;10&lt;15,"P3:Medium",V33&lt;10,"P4: Low")</f>
        <v>P4: Low</v>
      </c>
    </row>
    <row r="34" spans="1:23" ht="64" customHeight="1" x14ac:dyDescent="0.35">
      <c r="A34" s="4" t="s">
        <v>151</v>
      </c>
      <c r="B34" s="4" t="s">
        <v>152</v>
      </c>
      <c r="C34" s="4" t="s">
        <v>153</v>
      </c>
      <c r="D34" s="5" t="s">
        <v>154</v>
      </c>
      <c r="E34" s="4" t="s">
        <v>155</v>
      </c>
      <c r="F34" s="11" t="s">
        <v>156</v>
      </c>
      <c r="G34" s="4" t="s">
        <v>34</v>
      </c>
      <c r="H34" s="4"/>
      <c r="I34" s="4"/>
      <c r="J34" s="4"/>
      <c r="K34" s="6">
        <v>2</v>
      </c>
      <c r="L34" s="6" t="str">
        <f>VLOOKUP(K34, 'Maturity Scale'!A:B,2,FALSE)</f>
        <v>Risk Informed</v>
      </c>
      <c r="M34" s="7">
        <v>3</v>
      </c>
      <c r="N34" s="7" t="str">
        <f>VLOOKUP(M34,'Maturity Scale'!A:B,2,FALSE)</f>
        <v>Repeatable</v>
      </c>
      <c r="O34" s="15">
        <f t="shared" si="0"/>
        <v>1</v>
      </c>
      <c r="P34" s="18" t="s">
        <v>525</v>
      </c>
      <c r="Q34" s="18"/>
      <c r="U34">
        <f t="shared" si="1"/>
        <v>0</v>
      </c>
      <c r="V34">
        <f t="shared" si="2"/>
        <v>0</v>
      </c>
      <c r="W34" t="str" cm="1">
        <f t="array" ref="W34">_xlfn.IFS(V34&gt;20,"P1: Critical",15&lt;V34&lt;20,"P2: High",V34&lt;10&lt;15,"P3:Medium",V34&lt;10,"P4: Low")</f>
        <v>P4: Low</v>
      </c>
    </row>
    <row r="35" spans="1:23" ht="96" customHeight="1" x14ac:dyDescent="0.35">
      <c r="A35" s="4" t="s">
        <v>151</v>
      </c>
      <c r="B35" s="4" t="s">
        <v>152</v>
      </c>
      <c r="C35" s="4" t="s">
        <v>157</v>
      </c>
      <c r="D35" s="5" t="s">
        <v>158</v>
      </c>
      <c r="E35" s="4" t="s">
        <v>159</v>
      </c>
      <c r="F35" s="11" t="s">
        <v>160</v>
      </c>
      <c r="G35" s="4" t="s">
        <v>34</v>
      </c>
      <c r="H35" s="4"/>
      <c r="I35" s="4"/>
      <c r="J35" s="4"/>
      <c r="K35" s="6">
        <v>2</v>
      </c>
      <c r="L35" s="6" t="str">
        <f>VLOOKUP(K35, 'Maturity Scale'!A:B,2,FALSE)</f>
        <v>Risk Informed</v>
      </c>
      <c r="M35" s="7">
        <v>3</v>
      </c>
      <c r="N35" s="7" t="str">
        <f>VLOOKUP(M35,'Maturity Scale'!A:B,2,FALSE)</f>
        <v>Repeatable</v>
      </c>
      <c r="O35" s="15">
        <f t="shared" si="0"/>
        <v>1</v>
      </c>
      <c r="P35" s="18" t="s">
        <v>526</v>
      </c>
      <c r="Q35" s="18"/>
      <c r="U35">
        <f t="shared" si="1"/>
        <v>0</v>
      </c>
      <c r="V35">
        <f t="shared" si="2"/>
        <v>0</v>
      </c>
      <c r="W35" t="str" cm="1">
        <f t="array" ref="W35">_xlfn.IFS(V35&gt;20,"P1: Critical",15&lt;V35&lt;20,"P2: High",V35&lt;10&lt;15,"P3:Medium",V35&lt;10,"P4: Low")</f>
        <v>P4: Low</v>
      </c>
    </row>
    <row r="36" spans="1:23" ht="128" customHeight="1" x14ac:dyDescent="0.35">
      <c r="A36" s="4" t="s">
        <v>151</v>
      </c>
      <c r="B36" s="4" t="s">
        <v>152</v>
      </c>
      <c r="C36" s="4" t="s">
        <v>161</v>
      </c>
      <c r="D36" s="5" t="s">
        <v>162</v>
      </c>
      <c r="E36" s="4" t="s">
        <v>163</v>
      </c>
      <c r="F36" s="11" t="s">
        <v>164</v>
      </c>
      <c r="G36" s="4" t="s">
        <v>34</v>
      </c>
      <c r="H36" s="4"/>
      <c r="I36" s="4"/>
      <c r="J36" s="4"/>
      <c r="K36" s="6">
        <v>1</v>
      </c>
      <c r="L36" s="6" t="str">
        <f>VLOOKUP(K36, 'Maturity Scale'!A:B,2,FALSE)</f>
        <v>Partial</v>
      </c>
      <c r="M36" s="7">
        <v>3</v>
      </c>
      <c r="N36" s="7" t="str">
        <f>VLOOKUP(M36,'Maturity Scale'!A:B,2,FALSE)</f>
        <v>Repeatable</v>
      </c>
      <c r="O36" s="15">
        <f t="shared" si="0"/>
        <v>2</v>
      </c>
      <c r="P36" s="18" t="s">
        <v>527</v>
      </c>
      <c r="Q36" s="18"/>
      <c r="U36">
        <f t="shared" si="1"/>
        <v>0</v>
      </c>
      <c r="V36">
        <f t="shared" si="2"/>
        <v>0</v>
      </c>
      <c r="W36" t="str" cm="1">
        <f t="array" ref="W36">_xlfn.IFS(V36&gt;20,"P1: Critical",15&lt;V36&lt;20,"P2: High",V36&lt;10&lt;15,"P3:Medium",V36&lt;10,"P4: Low")</f>
        <v>P4: Low</v>
      </c>
    </row>
    <row r="37" spans="1:23" ht="112" customHeight="1" x14ac:dyDescent="0.35">
      <c r="A37" s="4" t="s">
        <v>151</v>
      </c>
      <c r="B37" s="4" t="s">
        <v>152</v>
      </c>
      <c r="C37" s="4" t="s">
        <v>165</v>
      </c>
      <c r="D37" s="5" t="s">
        <v>166</v>
      </c>
      <c r="E37" s="4" t="s">
        <v>167</v>
      </c>
      <c r="F37" s="11" t="s">
        <v>168</v>
      </c>
      <c r="G37" s="4" t="s">
        <v>125</v>
      </c>
      <c r="H37" s="4"/>
      <c r="I37" s="4"/>
      <c r="J37" s="4"/>
      <c r="K37" s="6">
        <v>2</v>
      </c>
      <c r="L37" s="6" t="str">
        <f>VLOOKUP(K37, 'Maturity Scale'!A:B,2,FALSE)</f>
        <v>Risk Informed</v>
      </c>
      <c r="M37" s="7">
        <v>3</v>
      </c>
      <c r="N37" s="7" t="str">
        <f>VLOOKUP(M37,'Maturity Scale'!A:B,2,FALSE)</f>
        <v>Repeatable</v>
      </c>
      <c r="O37" s="15">
        <f t="shared" si="0"/>
        <v>1</v>
      </c>
      <c r="P37" s="18" t="s">
        <v>528</v>
      </c>
      <c r="Q37" s="18"/>
      <c r="U37">
        <f t="shared" si="1"/>
        <v>0</v>
      </c>
      <c r="V37">
        <f t="shared" si="2"/>
        <v>0</v>
      </c>
      <c r="W37" t="str" cm="1">
        <f t="array" ref="W37">_xlfn.IFS(V37&gt;20,"P1: Critical",15&lt;V37&lt;20,"P2: High",V37&lt;10&lt;15,"P3:Medium",V37&lt;10,"P4: Low")</f>
        <v>P4: Low</v>
      </c>
    </row>
    <row r="38" spans="1:23" ht="64" customHeight="1" x14ac:dyDescent="0.35">
      <c r="A38" s="4" t="s">
        <v>151</v>
      </c>
      <c r="B38" s="4" t="s">
        <v>152</v>
      </c>
      <c r="C38" s="4" t="s">
        <v>169</v>
      </c>
      <c r="D38" s="5" t="s">
        <v>170</v>
      </c>
      <c r="E38" s="4" t="s">
        <v>171</v>
      </c>
      <c r="F38" s="11" t="s">
        <v>172</v>
      </c>
      <c r="G38" s="4" t="s">
        <v>34</v>
      </c>
      <c r="H38" s="4"/>
      <c r="I38" s="4"/>
      <c r="J38" s="4"/>
      <c r="K38" s="6">
        <v>1</v>
      </c>
      <c r="L38" s="6" t="str">
        <f>VLOOKUP(K38, 'Maturity Scale'!A:B,2,FALSE)</f>
        <v>Partial</v>
      </c>
      <c r="M38" s="7">
        <v>3</v>
      </c>
      <c r="N38" s="7" t="str">
        <f>VLOOKUP(M38,'Maturity Scale'!A:B,2,FALSE)</f>
        <v>Repeatable</v>
      </c>
      <c r="O38" s="15">
        <f t="shared" si="0"/>
        <v>2</v>
      </c>
      <c r="P38" s="18" t="s">
        <v>535</v>
      </c>
      <c r="Q38" s="18"/>
      <c r="U38">
        <f t="shared" si="1"/>
        <v>0</v>
      </c>
      <c r="V38">
        <f t="shared" si="2"/>
        <v>0</v>
      </c>
      <c r="W38" t="str" cm="1">
        <f t="array" ref="W38">_xlfn.IFS(V38&gt;20,"P1: Critical",15&lt;V38&lt;20,"P2: High",V38&lt;10&lt;15,"P3:Medium",V38&lt;10,"P4: Low")</f>
        <v>P4: Low</v>
      </c>
    </row>
    <row r="39" spans="1:23" ht="160" customHeight="1" x14ac:dyDescent="0.35">
      <c r="A39" s="4" t="s">
        <v>151</v>
      </c>
      <c r="B39" s="4" t="s">
        <v>152</v>
      </c>
      <c r="C39" s="4" t="s">
        <v>173</v>
      </c>
      <c r="D39" s="5" t="s">
        <v>174</v>
      </c>
      <c r="E39" s="4" t="s">
        <v>175</v>
      </c>
      <c r="F39" s="11" t="s">
        <v>176</v>
      </c>
      <c r="G39" s="4" t="s">
        <v>142</v>
      </c>
      <c r="H39" s="4"/>
      <c r="I39" s="4"/>
      <c r="J39" s="4"/>
      <c r="K39" s="6">
        <v>1</v>
      </c>
      <c r="L39" s="6" t="str">
        <f>VLOOKUP(K39, 'Maturity Scale'!A:B,2,FALSE)</f>
        <v>Partial</v>
      </c>
      <c r="M39" s="7">
        <v>3</v>
      </c>
      <c r="N39" s="7" t="str">
        <f>VLOOKUP(M39,'Maturity Scale'!A:B,2,FALSE)</f>
        <v>Repeatable</v>
      </c>
      <c r="O39" s="15">
        <f t="shared" si="0"/>
        <v>2</v>
      </c>
      <c r="P39" s="18" t="s">
        <v>536</v>
      </c>
      <c r="Q39" s="18"/>
      <c r="U39">
        <f t="shared" si="1"/>
        <v>0</v>
      </c>
      <c r="V39">
        <f t="shared" si="2"/>
        <v>0</v>
      </c>
      <c r="W39" t="str" cm="1">
        <f t="array" ref="W39">_xlfn.IFS(V39&gt;20,"P1: Critical",15&lt;V39&lt;20,"P2: High",V39&lt;10&lt;15,"P3:Medium",V39&lt;10,"P4: Low")</f>
        <v>P4: Low</v>
      </c>
    </row>
    <row r="40" spans="1:23" ht="288" customHeight="1" x14ac:dyDescent="0.35">
      <c r="A40" s="4" t="s">
        <v>151</v>
      </c>
      <c r="B40" s="4" t="s">
        <v>152</v>
      </c>
      <c r="C40" s="4" t="s">
        <v>177</v>
      </c>
      <c r="D40" s="5" t="s">
        <v>178</v>
      </c>
      <c r="E40" s="4" t="s">
        <v>179</v>
      </c>
      <c r="F40" s="11" t="s">
        <v>180</v>
      </c>
      <c r="G40" s="4" t="s">
        <v>34</v>
      </c>
      <c r="H40" s="4"/>
      <c r="I40" s="4"/>
      <c r="J40" s="4"/>
      <c r="K40" s="6">
        <v>1</v>
      </c>
      <c r="L40" s="6" t="str">
        <f>VLOOKUP(K40, 'Maturity Scale'!A:B,2,FALSE)</f>
        <v>Partial</v>
      </c>
      <c r="M40" s="7">
        <v>3</v>
      </c>
      <c r="N40" s="7" t="str">
        <f>VLOOKUP(M40,'Maturity Scale'!A:B,2,FALSE)</f>
        <v>Repeatable</v>
      </c>
      <c r="O40" s="15">
        <f t="shared" si="0"/>
        <v>2</v>
      </c>
      <c r="P40" s="18" t="s">
        <v>537</v>
      </c>
      <c r="Q40" s="18"/>
      <c r="U40">
        <f t="shared" si="1"/>
        <v>0</v>
      </c>
      <c r="V40">
        <f t="shared" si="2"/>
        <v>0</v>
      </c>
      <c r="W40" t="str" cm="1">
        <f t="array" ref="W40">_xlfn.IFS(V40&gt;20,"P1: Critical",15&lt;V40&lt;20,"P2: High",V40&lt;10&lt;15,"P3:Medium",V40&lt;10,"P4: Low")</f>
        <v>P4: Low</v>
      </c>
    </row>
    <row r="41" spans="1:23" ht="192" customHeight="1" x14ac:dyDescent="0.35">
      <c r="A41" s="4" t="s">
        <v>151</v>
      </c>
      <c r="B41" s="4" t="s">
        <v>181</v>
      </c>
      <c r="C41" s="4" t="s">
        <v>182</v>
      </c>
      <c r="D41" s="5" t="s">
        <v>183</v>
      </c>
      <c r="E41" s="4" t="s">
        <v>184</v>
      </c>
      <c r="F41" s="13" t="s">
        <v>185</v>
      </c>
      <c r="G41" s="4" t="s">
        <v>142</v>
      </c>
      <c r="H41" s="4"/>
      <c r="I41" s="4"/>
      <c r="J41" s="4"/>
      <c r="K41" s="6">
        <v>3</v>
      </c>
      <c r="L41" s="6" t="str">
        <f>VLOOKUP(K41, 'Maturity Scale'!A:B,2,FALSE)</f>
        <v>Repeatable</v>
      </c>
      <c r="M41" s="7">
        <v>3</v>
      </c>
      <c r="N41" s="7" t="str">
        <f>VLOOKUP(M41,'Maturity Scale'!A:B,2,FALSE)</f>
        <v>Repeatable</v>
      </c>
      <c r="O41" s="15">
        <f t="shared" si="0"/>
        <v>0</v>
      </c>
      <c r="P41" s="18" t="s">
        <v>538</v>
      </c>
      <c r="Q41" s="18"/>
      <c r="U41">
        <f t="shared" si="1"/>
        <v>0</v>
      </c>
      <c r="V41">
        <f t="shared" si="2"/>
        <v>0</v>
      </c>
      <c r="W41" t="str" cm="1">
        <f t="array" ref="W41">_xlfn.IFS(V41&gt;20,"P1: Critical",15&lt;V41&lt;20,"P2: High",V41&lt;10&lt;15,"P3:Medium",V41&lt;10,"P4: Low")</f>
        <v>P4: Low</v>
      </c>
    </row>
    <row r="42" spans="1:23" ht="96" customHeight="1" x14ac:dyDescent="0.35">
      <c r="A42" s="4" t="s">
        <v>151</v>
      </c>
      <c r="B42" s="4" t="s">
        <v>181</v>
      </c>
      <c r="C42" s="4" t="s">
        <v>186</v>
      </c>
      <c r="D42" s="5" t="s">
        <v>187</v>
      </c>
      <c r="E42" s="4" t="s">
        <v>188</v>
      </c>
      <c r="F42" s="11" t="s">
        <v>189</v>
      </c>
      <c r="G42" s="4" t="s">
        <v>142</v>
      </c>
      <c r="H42" s="4"/>
      <c r="I42" s="4"/>
      <c r="J42" s="4"/>
      <c r="K42" s="6">
        <v>3</v>
      </c>
      <c r="L42" s="6" t="str">
        <f>VLOOKUP(K42, 'Maturity Scale'!A:B,2,FALSE)</f>
        <v>Repeatable</v>
      </c>
      <c r="M42" s="7">
        <v>3</v>
      </c>
      <c r="N42" s="7" t="str">
        <f>VLOOKUP(M42,'Maturity Scale'!A:B,2,FALSE)</f>
        <v>Repeatable</v>
      </c>
      <c r="O42" s="15">
        <f t="shared" si="0"/>
        <v>0</v>
      </c>
      <c r="P42" s="18" t="s">
        <v>539</v>
      </c>
      <c r="Q42" s="18"/>
      <c r="U42">
        <f t="shared" si="1"/>
        <v>0</v>
      </c>
      <c r="V42">
        <f t="shared" si="2"/>
        <v>0</v>
      </c>
      <c r="W42" t="str" cm="1">
        <f t="array" ref="W42">_xlfn.IFS(V42&gt;20,"P1: Critical",15&lt;V42&lt;20,"P2: High",V42&lt;10&lt;15,"P3:Medium",V42&lt;10,"P4: Low")</f>
        <v>P4: Low</v>
      </c>
    </row>
    <row r="43" spans="1:23" ht="96" customHeight="1" x14ac:dyDescent="0.35">
      <c r="A43" s="4" t="s">
        <v>151</v>
      </c>
      <c r="B43" s="4" t="s">
        <v>181</v>
      </c>
      <c r="C43" s="4" t="s">
        <v>190</v>
      </c>
      <c r="D43" s="5" t="s">
        <v>191</v>
      </c>
      <c r="E43" s="4" t="s">
        <v>192</v>
      </c>
      <c r="F43" s="11" t="s">
        <v>193</v>
      </c>
      <c r="G43" s="4" t="s">
        <v>142</v>
      </c>
      <c r="H43" s="4"/>
      <c r="I43" s="4"/>
      <c r="J43" s="4"/>
      <c r="K43" s="6">
        <v>3</v>
      </c>
      <c r="L43" s="6" t="str">
        <f>VLOOKUP(K43, 'Maturity Scale'!A:B,2,FALSE)</f>
        <v>Repeatable</v>
      </c>
      <c r="M43" s="7">
        <v>3</v>
      </c>
      <c r="N43" s="7" t="str">
        <f>VLOOKUP(M43,'Maturity Scale'!A:B,2,FALSE)</f>
        <v>Repeatable</v>
      </c>
      <c r="O43" s="15">
        <f t="shared" si="0"/>
        <v>0</v>
      </c>
      <c r="P43" s="18" t="s">
        <v>540</v>
      </c>
      <c r="Q43" s="18"/>
      <c r="U43">
        <f t="shared" si="1"/>
        <v>0</v>
      </c>
      <c r="V43">
        <f t="shared" si="2"/>
        <v>0</v>
      </c>
      <c r="W43" t="str" cm="1">
        <f t="array" ref="W43">_xlfn.IFS(V43&gt;20,"P1: Critical",15&lt;V43&lt;20,"P2: High",V43&lt;10&lt;15,"P3:Medium",V43&lt;10,"P4: Low")</f>
        <v>P4: Low</v>
      </c>
    </row>
    <row r="44" spans="1:23" ht="128" customHeight="1" x14ac:dyDescent="0.35">
      <c r="A44" s="4" t="s">
        <v>151</v>
      </c>
      <c r="B44" s="4" t="s">
        <v>181</v>
      </c>
      <c r="C44" s="4" t="s">
        <v>194</v>
      </c>
      <c r="D44" s="5" t="s">
        <v>195</v>
      </c>
      <c r="E44" s="4" t="s">
        <v>196</v>
      </c>
      <c r="F44" s="11" t="s">
        <v>197</v>
      </c>
      <c r="G44" s="4" t="s">
        <v>142</v>
      </c>
      <c r="H44" s="4"/>
      <c r="I44" s="4"/>
      <c r="J44" s="4"/>
      <c r="K44" s="6">
        <v>3</v>
      </c>
      <c r="L44" s="6" t="str">
        <f>VLOOKUP(K44, 'Maturity Scale'!A:B,2,FALSE)</f>
        <v>Repeatable</v>
      </c>
      <c r="M44" s="7">
        <v>3</v>
      </c>
      <c r="N44" s="7" t="str">
        <f>VLOOKUP(M44,'Maturity Scale'!A:B,2,FALSE)</f>
        <v>Repeatable</v>
      </c>
      <c r="O44" s="15">
        <f t="shared" si="0"/>
        <v>0</v>
      </c>
      <c r="P44" s="18" t="s">
        <v>541</v>
      </c>
      <c r="Q44" s="18"/>
      <c r="U44">
        <f t="shared" si="1"/>
        <v>0</v>
      </c>
      <c r="V44">
        <f t="shared" si="2"/>
        <v>0</v>
      </c>
      <c r="W44" t="str" cm="1">
        <f t="array" ref="W44">_xlfn.IFS(V44&gt;20,"P1: Critical",15&lt;V44&lt;20,"P2: High",V44&lt;10&lt;15,"P3:Medium",V44&lt;10,"P4: Low")</f>
        <v>P4: Low</v>
      </c>
    </row>
    <row r="45" spans="1:23" ht="64" customHeight="1" x14ac:dyDescent="0.35">
      <c r="A45" s="4" t="s">
        <v>151</v>
      </c>
      <c r="B45" s="4" t="s">
        <v>181</v>
      </c>
      <c r="C45" s="4" t="s">
        <v>198</v>
      </c>
      <c r="D45" s="5" t="s">
        <v>199</v>
      </c>
      <c r="E45" s="4" t="s">
        <v>200</v>
      </c>
      <c r="F45" s="11" t="s">
        <v>201</v>
      </c>
      <c r="G45" s="4" t="s">
        <v>20</v>
      </c>
      <c r="H45" s="4"/>
      <c r="I45" s="4"/>
      <c r="J45" s="4"/>
      <c r="K45" s="6">
        <v>3</v>
      </c>
      <c r="L45" s="6" t="str">
        <f>VLOOKUP(K45, 'Maturity Scale'!A:B,2,FALSE)</f>
        <v>Repeatable</v>
      </c>
      <c r="M45" s="7">
        <v>3</v>
      </c>
      <c r="N45" s="7" t="str">
        <f>VLOOKUP(M45,'Maturity Scale'!A:B,2,FALSE)</f>
        <v>Repeatable</v>
      </c>
      <c r="O45" s="15">
        <f t="shared" si="0"/>
        <v>0</v>
      </c>
      <c r="P45" s="18" t="s">
        <v>541</v>
      </c>
      <c r="Q45" s="18"/>
      <c r="U45">
        <f t="shared" si="1"/>
        <v>0</v>
      </c>
      <c r="V45">
        <f t="shared" si="2"/>
        <v>0</v>
      </c>
      <c r="W45" t="str" cm="1">
        <f t="array" ref="W45">_xlfn.IFS(V45&gt;20,"P1: Critical",15&lt;V45&lt;20,"P2: High",V45&lt;10&lt;15,"P3:Medium",V45&lt;10,"P4: Low")</f>
        <v>P4: Low</v>
      </c>
    </row>
    <row r="46" spans="1:23" ht="160" customHeight="1" x14ac:dyDescent="0.35">
      <c r="A46" s="4" t="s">
        <v>151</v>
      </c>
      <c r="B46" s="4" t="s">
        <v>181</v>
      </c>
      <c r="C46" s="4" t="s">
        <v>202</v>
      </c>
      <c r="D46" s="5" t="s">
        <v>203</v>
      </c>
      <c r="E46" s="4" t="s">
        <v>204</v>
      </c>
      <c r="F46" s="11" t="s">
        <v>205</v>
      </c>
      <c r="G46" s="4" t="s">
        <v>142</v>
      </c>
      <c r="H46" s="4"/>
      <c r="I46" s="4"/>
      <c r="J46" s="4"/>
      <c r="K46" s="6">
        <v>3</v>
      </c>
      <c r="L46" s="6" t="str">
        <f>VLOOKUP(K46, 'Maturity Scale'!A:B,2,FALSE)</f>
        <v>Repeatable</v>
      </c>
      <c r="M46" s="7">
        <v>3</v>
      </c>
      <c r="N46" s="7" t="str">
        <f>VLOOKUP(M46,'Maturity Scale'!A:B,2,FALSE)</f>
        <v>Repeatable</v>
      </c>
      <c r="O46" s="15">
        <f t="shared" si="0"/>
        <v>0</v>
      </c>
      <c r="P46" s="18" t="s">
        <v>511</v>
      </c>
      <c r="Q46" s="18"/>
      <c r="U46">
        <f t="shared" si="1"/>
        <v>0</v>
      </c>
      <c r="V46">
        <f t="shared" si="2"/>
        <v>0</v>
      </c>
      <c r="W46" t="str" cm="1">
        <f t="array" ref="W46">_xlfn.IFS(V46&gt;20,"P1: Critical",15&lt;V46&lt;20,"P2: High",V46&lt;10&lt;15,"P3:Medium",V46&lt;10,"P4: Low")</f>
        <v>P4: Low</v>
      </c>
    </row>
    <row r="47" spans="1:23" ht="144" customHeight="1" x14ac:dyDescent="0.35">
      <c r="A47" s="4" t="s">
        <v>151</v>
      </c>
      <c r="B47" s="4" t="s">
        <v>181</v>
      </c>
      <c r="C47" s="4" t="s">
        <v>206</v>
      </c>
      <c r="D47" s="5" t="s">
        <v>207</v>
      </c>
      <c r="E47" s="4" t="s">
        <v>208</v>
      </c>
      <c r="F47" s="11" t="s">
        <v>209</v>
      </c>
      <c r="G47" s="4" t="s">
        <v>20</v>
      </c>
      <c r="H47" s="4"/>
      <c r="I47" s="4"/>
      <c r="J47" s="4"/>
      <c r="K47" s="6">
        <v>1</v>
      </c>
      <c r="L47" s="6" t="str">
        <f>VLOOKUP(K47, 'Maturity Scale'!A:B,2,FALSE)</f>
        <v>Partial</v>
      </c>
      <c r="M47" s="7">
        <v>3</v>
      </c>
      <c r="N47" s="7" t="str">
        <f>VLOOKUP(M47,'Maturity Scale'!A:B,2,FALSE)</f>
        <v>Repeatable</v>
      </c>
      <c r="O47" s="15">
        <f t="shared" si="0"/>
        <v>2</v>
      </c>
      <c r="P47" s="18" t="s">
        <v>542</v>
      </c>
      <c r="Q47" s="18"/>
      <c r="U47">
        <f t="shared" si="1"/>
        <v>0</v>
      </c>
      <c r="V47">
        <f t="shared" si="2"/>
        <v>0</v>
      </c>
      <c r="W47" t="str" cm="1">
        <f t="array" ref="W47">_xlfn.IFS(V47&gt;20,"P1: Critical",15&lt;V47&lt;20,"P2: High",V47&lt;10&lt;15,"P3:Medium",V47&lt;10,"P4: Low")</f>
        <v>P4: Low</v>
      </c>
    </row>
    <row r="48" spans="1:23" ht="112" customHeight="1" x14ac:dyDescent="0.35">
      <c r="A48" s="4" t="s">
        <v>151</v>
      </c>
      <c r="B48" s="4" t="s">
        <v>181</v>
      </c>
      <c r="C48" s="4" t="s">
        <v>210</v>
      </c>
      <c r="D48" s="5" t="s">
        <v>211</v>
      </c>
      <c r="E48" s="4" t="s">
        <v>212</v>
      </c>
      <c r="F48" s="11" t="s">
        <v>213</v>
      </c>
      <c r="G48" s="4" t="s">
        <v>142</v>
      </c>
      <c r="H48" s="4"/>
      <c r="I48" s="4"/>
      <c r="J48" s="4"/>
      <c r="K48" s="6">
        <v>2</v>
      </c>
      <c r="L48" s="6" t="str">
        <f>VLOOKUP(K48, 'Maturity Scale'!A:B,2,FALSE)</f>
        <v>Risk Informed</v>
      </c>
      <c r="M48" s="7">
        <v>3</v>
      </c>
      <c r="N48" s="7" t="str">
        <f>VLOOKUP(M48,'Maturity Scale'!A:B,2,FALSE)</f>
        <v>Repeatable</v>
      </c>
      <c r="O48" s="15">
        <f t="shared" si="0"/>
        <v>1</v>
      </c>
      <c r="P48" s="18" t="s">
        <v>543</v>
      </c>
      <c r="Q48" s="18"/>
      <c r="U48">
        <f t="shared" si="1"/>
        <v>0</v>
      </c>
      <c r="V48">
        <f t="shared" si="2"/>
        <v>0</v>
      </c>
      <c r="W48" t="str" cm="1">
        <f t="array" ref="W48">_xlfn.IFS(V48&gt;20,"P1: Critical",15&lt;V48&lt;20,"P2: High",V48&lt;10&lt;15,"P3:Medium",V48&lt;10,"P4: Low")</f>
        <v>P4: Low</v>
      </c>
    </row>
    <row r="49" spans="1:23" ht="112" customHeight="1" x14ac:dyDescent="0.35">
      <c r="A49" s="4" t="s">
        <v>151</v>
      </c>
      <c r="B49" s="4" t="s">
        <v>181</v>
      </c>
      <c r="C49" s="4" t="s">
        <v>214</v>
      </c>
      <c r="D49" s="5" t="s">
        <v>215</v>
      </c>
      <c r="E49" s="4" t="s">
        <v>216</v>
      </c>
      <c r="F49" s="11" t="s">
        <v>217</v>
      </c>
      <c r="G49" s="4" t="s">
        <v>125</v>
      </c>
      <c r="H49" s="4"/>
      <c r="I49" s="4"/>
      <c r="J49" s="4"/>
      <c r="K49" s="6">
        <v>3</v>
      </c>
      <c r="L49" s="6" t="str">
        <f>VLOOKUP(K49, 'Maturity Scale'!A:B,2,FALSE)</f>
        <v>Repeatable</v>
      </c>
      <c r="M49" s="7">
        <v>3</v>
      </c>
      <c r="N49" s="7" t="str">
        <f>VLOOKUP(M49,'Maturity Scale'!A:B,2,FALSE)</f>
        <v>Repeatable</v>
      </c>
      <c r="O49" s="15">
        <f t="shared" si="0"/>
        <v>0</v>
      </c>
      <c r="P49" s="18" t="s">
        <v>544</v>
      </c>
      <c r="Q49" s="18"/>
      <c r="U49">
        <f t="shared" si="1"/>
        <v>0</v>
      </c>
      <c r="V49">
        <f t="shared" si="2"/>
        <v>0</v>
      </c>
      <c r="W49" t="str" cm="1">
        <f t="array" ref="W49">_xlfn.IFS(V49&gt;20,"P1: Critical",15&lt;V49&lt;20,"P2: High",V49&lt;10&lt;15,"P3:Medium",V49&lt;10,"P4: Low")</f>
        <v>P4: Low</v>
      </c>
    </row>
    <row r="50" spans="1:23" ht="96" customHeight="1" x14ac:dyDescent="0.35">
      <c r="A50" s="4" t="s">
        <v>151</v>
      </c>
      <c r="B50" s="4" t="s">
        <v>181</v>
      </c>
      <c r="C50" s="4" t="s">
        <v>218</v>
      </c>
      <c r="D50" s="5" t="s">
        <v>219</v>
      </c>
      <c r="E50" s="4" t="s">
        <v>220</v>
      </c>
      <c r="F50" s="11" t="s">
        <v>221</v>
      </c>
      <c r="G50" s="4" t="s">
        <v>125</v>
      </c>
      <c r="H50" s="4"/>
      <c r="I50" s="4"/>
      <c r="J50" s="4"/>
      <c r="K50" s="6">
        <v>3</v>
      </c>
      <c r="L50" s="6" t="str">
        <f>VLOOKUP(K50, 'Maturity Scale'!A:B,2,FALSE)</f>
        <v>Repeatable</v>
      </c>
      <c r="M50" s="7">
        <v>3</v>
      </c>
      <c r="N50" s="7" t="str">
        <f>VLOOKUP(M50,'Maturity Scale'!A:B,2,FALSE)</f>
        <v>Repeatable</v>
      </c>
      <c r="O50" s="15">
        <f t="shared" si="0"/>
        <v>0</v>
      </c>
      <c r="P50" s="18" t="s">
        <v>545</v>
      </c>
      <c r="Q50" s="18"/>
      <c r="U50">
        <f t="shared" si="1"/>
        <v>0</v>
      </c>
      <c r="V50">
        <f t="shared" si="2"/>
        <v>0</v>
      </c>
      <c r="W50" t="str" cm="1">
        <f t="array" ref="W50">_xlfn.IFS(V50&gt;20,"P1: Critical",15&lt;V50&lt;20,"P2: High",V50&lt;10&lt;15,"P3:Medium",V50&lt;10,"P4: Low")</f>
        <v>P4: Low</v>
      </c>
    </row>
    <row r="51" spans="1:23" ht="112" customHeight="1" x14ac:dyDescent="0.35">
      <c r="A51" s="4" t="s">
        <v>151</v>
      </c>
      <c r="B51" s="4" t="s">
        <v>222</v>
      </c>
      <c r="C51" s="4" t="s">
        <v>223</v>
      </c>
      <c r="D51" s="5" t="s">
        <v>224</v>
      </c>
      <c r="E51" s="4" t="s">
        <v>225</v>
      </c>
      <c r="F51" s="11" t="s">
        <v>226</v>
      </c>
      <c r="G51" s="4" t="s">
        <v>20</v>
      </c>
      <c r="H51" s="4"/>
      <c r="I51" s="4"/>
      <c r="J51" s="4"/>
      <c r="K51" s="6">
        <v>2</v>
      </c>
      <c r="L51" s="6" t="str">
        <f>VLOOKUP(K51, 'Maturity Scale'!A:B,2,FALSE)</f>
        <v>Risk Informed</v>
      </c>
      <c r="M51" s="7">
        <v>3</v>
      </c>
      <c r="N51" s="7" t="str">
        <f>VLOOKUP(M51,'Maturity Scale'!A:B,2,FALSE)</f>
        <v>Repeatable</v>
      </c>
      <c r="O51" s="15">
        <f t="shared" si="0"/>
        <v>1</v>
      </c>
      <c r="P51" s="18" t="s">
        <v>546</v>
      </c>
      <c r="Q51" s="18"/>
      <c r="U51">
        <f t="shared" si="1"/>
        <v>0</v>
      </c>
      <c r="V51">
        <f t="shared" si="2"/>
        <v>0</v>
      </c>
      <c r="W51" t="str" cm="1">
        <f t="array" ref="W51">_xlfn.IFS(V51&gt;20,"P1: Critical",15&lt;V51&lt;20,"P2: High",V51&lt;10&lt;15,"P3:Medium",V51&lt;10,"P4: Low")</f>
        <v>P4: Low</v>
      </c>
    </row>
    <row r="52" spans="1:23" ht="256" customHeight="1" x14ac:dyDescent="0.35">
      <c r="A52" s="4" t="s">
        <v>151</v>
      </c>
      <c r="B52" s="4" t="s">
        <v>222</v>
      </c>
      <c r="C52" s="4" t="s">
        <v>227</v>
      </c>
      <c r="D52" s="5" t="s">
        <v>228</v>
      </c>
      <c r="E52" s="4" t="s">
        <v>229</v>
      </c>
      <c r="F52" s="11" t="s">
        <v>230</v>
      </c>
      <c r="G52" s="4" t="s">
        <v>20</v>
      </c>
      <c r="H52" s="4"/>
      <c r="I52" s="4"/>
      <c r="J52" s="4"/>
      <c r="K52" s="6">
        <v>3</v>
      </c>
      <c r="L52" s="6" t="str">
        <f>VLOOKUP(K52, 'Maturity Scale'!A:B,2,FALSE)</f>
        <v>Repeatable</v>
      </c>
      <c r="M52" s="7">
        <v>3</v>
      </c>
      <c r="N52" s="7" t="str">
        <f>VLOOKUP(M52,'Maturity Scale'!A:B,2,FALSE)</f>
        <v>Repeatable</v>
      </c>
      <c r="O52" s="15">
        <f t="shared" si="0"/>
        <v>0</v>
      </c>
      <c r="P52" s="18" t="s">
        <v>547</v>
      </c>
      <c r="Q52" s="18"/>
      <c r="U52">
        <f t="shared" si="1"/>
        <v>0</v>
      </c>
      <c r="V52">
        <f t="shared" si="2"/>
        <v>0</v>
      </c>
      <c r="W52" t="str" cm="1">
        <f t="array" ref="W52">_xlfn.IFS(V52&gt;20,"P1: Critical",15&lt;V52&lt;20,"P2: High",V52&lt;10&lt;15,"P3:Medium",V52&lt;10,"P4: Low")</f>
        <v>P4: Low</v>
      </c>
    </row>
    <row r="53" spans="1:23" ht="80" customHeight="1" x14ac:dyDescent="0.35">
      <c r="A53" s="4" t="s">
        <v>151</v>
      </c>
      <c r="B53" s="4" t="s">
        <v>222</v>
      </c>
      <c r="C53" s="4" t="s">
        <v>231</v>
      </c>
      <c r="D53" s="5" t="s">
        <v>232</v>
      </c>
      <c r="E53" s="4" t="s">
        <v>233</v>
      </c>
      <c r="F53" s="11" t="s">
        <v>234</v>
      </c>
      <c r="G53" s="4" t="s">
        <v>20</v>
      </c>
      <c r="H53" s="4"/>
      <c r="I53" s="4"/>
      <c r="J53" s="4"/>
      <c r="K53" s="6">
        <v>1</v>
      </c>
      <c r="L53" s="6" t="str">
        <f>VLOOKUP(K53, 'Maturity Scale'!A:B,2,FALSE)</f>
        <v>Partial</v>
      </c>
      <c r="M53" s="7">
        <v>3</v>
      </c>
      <c r="N53" s="7" t="str">
        <f>VLOOKUP(M53,'Maturity Scale'!A:B,2,FALSE)</f>
        <v>Repeatable</v>
      </c>
      <c r="O53" s="15">
        <f t="shared" si="0"/>
        <v>2</v>
      </c>
      <c r="P53" s="18" t="s">
        <v>548</v>
      </c>
      <c r="Q53" s="18"/>
      <c r="U53">
        <f t="shared" si="1"/>
        <v>0</v>
      </c>
      <c r="V53">
        <f t="shared" si="2"/>
        <v>0</v>
      </c>
      <c r="W53" t="str" cm="1">
        <f t="array" ref="W53">_xlfn.IFS(V53&gt;20,"P1: Critical",15&lt;V53&lt;20,"P2: High",V53&lt;10&lt;15,"P3:Medium",V53&lt;10,"P4: Low")</f>
        <v>P4: Low</v>
      </c>
    </row>
    <row r="54" spans="1:23" ht="240" customHeight="1" x14ac:dyDescent="0.35">
      <c r="A54" s="4" t="s">
        <v>151</v>
      </c>
      <c r="B54" s="4" t="s">
        <v>222</v>
      </c>
      <c r="C54" s="4" t="s">
        <v>235</v>
      </c>
      <c r="D54" s="5" t="s">
        <v>236</v>
      </c>
      <c r="E54" s="4" t="s">
        <v>237</v>
      </c>
      <c r="F54" s="11" t="s">
        <v>238</v>
      </c>
      <c r="G54" s="4" t="s">
        <v>142</v>
      </c>
      <c r="H54" s="4"/>
      <c r="I54" s="4"/>
      <c r="J54" s="4"/>
      <c r="K54" s="6">
        <v>3</v>
      </c>
      <c r="L54" s="6" t="str">
        <f>VLOOKUP(K54, 'Maturity Scale'!A:B,2,FALSE)</f>
        <v>Repeatable</v>
      </c>
      <c r="M54" s="7">
        <v>3</v>
      </c>
      <c r="N54" s="7" t="str">
        <f>VLOOKUP(M54,'Maturity Scale'!A:B,2,FALSE)</f>
        <v>Repeatable</v>
      </c>
      <c r="O54" s="15">
        <f t="shared" si="0"/>
        <v>0</v>
      </c>
      <c r="P54" s="18" t="s">
        <v>549</v>
      </c>
      <c r="Q54" s="18"/>
      <c r="U54">
        <f t="shared" si="1"/>
        <v>0</v>
      </c>
      <c r="V54">
        <f t="shared" si="2"/>
        <v>0</v>
      </c>
      <c r="W54" t="str" cm="1">
        <f t="array" ref="W54">_xlfn.IFS(V54&gt;20,"P1: Critical",15&lt;V54&lt;20,"P2: High",V54&lt;10&lt;15,"P3:Medium",V54&lt;10,"P4: Low")</f>
        <v>P4: Low</v>
      </c>
    </row>
    <row r="55" spans="1:23" ht="176" customHeight="1" x14ac:dyDescent="0.35">
      <c r="A55" s="4" t="s">
        <v>239</v>
      </c>
      <c r="B55" s="4" t="s">
        <v>240</v>
      </c>
      <c r="C55" s="4" t="s">
        <v>241</v>
      </c>
      <c r="D55" s="5" t="s">
        <v>242</v>
      </c>
      <c r="E55" s="4" t="s">
        <v>243</v>
      </c>
      <c r="F55" s="11" t="s">
        <v>244</v>
      </c>
      <c r="G55" s="4" t="s">
        <v>34</v>
      </c>
      <c r="H55" s="4"/>
      <c r="I55" s="4"/>
      <c r="J55" s="4"/>
      <c r="K55" s="6">
        <v>3</v>
      </c>
      <c r="L55" s="6" t="str">
        <f>VLOOKUP(K55, 'Maturity Scale'!A:B,2,FALSE)</f>
        <v>Repeatable</v>
      </c>
      <c r="M55" s="7">
        <v>3</v>
      </c>
      <c r="N55" s="7" t="str">
        <f>VLOOKUP(M55,'Maturity Scale'!A:B,2,FALSE)</f>
        <v>Repeatable</v>
      </c>
      <c r="O55" s="15">
        <f t="shared" si="0"/>
        <v>0</v>
      </c>
      <c r="P55" s="18" t="s">
        <v>550</v>
      </c>
      <c r="Q55" s="18"/>
      <c r="U55">
        <f t="shared" si="1"/>
        <v>0</v>
      </c>
      <c r="V55">
        <f t="shared" si="2"/>
        <v>0</v>
      </c>
      <c r="W55" t="str" cm="1">
        <f t="array" ref="W55">_xlfn.IFS(V55&gt;20,"P1: Critical",15&lt;V55&lt;20,"P2: High",V55&lt;10&lt;15,"P3:Medium",V55&lt;10,"P4: Low")</f>
        <v>P4: Low</v>
      </c>
    </row>
    <row r="56" spans="1:23" ht="128" customHeight="1" x14ac:dyDescent="0.35">
      <c r="A56" s="4" t="s">
        <v>239</v>
      </c>
      <c r="B56" s="4" t="s">
        <v>240</v>
      </c>
      <c r="C56" s="4" t="s">
        <v>245</v>
      </c>
      <c r="D56" s="5" t="s">
        <v>246</v>
      </c>
      <c r="E56" s="4" t="s">
        <v>247</v>
      </c>
      <c r="F56" s="11" t="s">
        <v>248</v>
      </c>
      <c r="G56" s="4" t="s">
        <v>34</v>
      </c>
      <c r="H56" s="4"/>
      <c r="I56" s="4"/>
      <c r="J56" s="4"/>
      <c r="K56" s="6">
        <v>1</v>
      </c>
      <c r="L56" s="6" t="str">
        <f>VLOOKUP(K56, 'Maturity Scale'!A:B,2,FALSE)</f>
        <v>Partial</v>
      </c>
      <c r="M56" s="7">
        <v>3</v>
      </c>
      <c r="N56" s="7" t="str">
        <f>VLOOKUP(M56,'Maturity Scale'!A:B,2,FALSE)</f>
        <v>Repeatable</v>
      </c>
      <c r="O56" s="15">
        <f t="shared" si="0"/>
        <v>2</v>
      </c>
      <c r="P56" s="18" t="s">
        <v>551</v>
      </c>
      <c r="Q56" s="18"/>
      <c r="U56">
        <f t="shared" si="1"/>
        <v>0</v>
      </c>
      <c r="V56">
        <f t="shared" si="2"/>
        <v>0</v>
      </c>
      <c r="W56" t="str" cm="1">
        <f t="array" ref="W56">_xlfn.IFS(V56&gt;20,"P1: Critical",15&lt;V56&lt;20,"P2: High",V56&lt;10&lt;15,"P3:Medium",V56&lt;10,"P4: Low")</f>
        <v>P4: Low</v>
      </c>
    </row>
    <row r="57" spans="1:23" ht="112" customHeight="1" x14ac:dyDescent="0.35">
      <c r="A57" s="4" t="s">
        <v>239</v>
      </c>
      <c r="B57" s="4" t="s">
        <v>240</v>
      </c>
      <c r="C57" s="4" t="s">
        <v>249</v>
      </c>
      <c r="D57" s="5" t="s">
        <v>250</v>
      </c>
      <c r="E57" s="4" t="s">
        <v>251</v>
      </c>
      <c r="F57" s="11" t="s">
        <v>252</v>
      </c>
      <c r="G57" s="4" t="s">
        <v>34</v>
      </c>
      <c r="H57" s="4"/>
      <c r="I57" s="4"/>
      <c r="J57" s="4"/>
      <c r="K57" s="6">
        <v>3</v>
      </c>
      <c r="L57" s="6" t="str">
        <f>VLOOKUP(K57, 'Maturity Scale'!A:B,2,FALSE)</f>
        <v>Repeatable</v>
      </c>
      <c r="M57" s="7">
        <v>3</v>
      </c>
      <c r="N57" s="7" t="str">
        <f>VLOOKUP(M57,'Maturity Scale'!A:B,2,FALSE)</f>
        <v>Repeatable</v>
      </c>
      <c r="O57" s="15">
        <f t="shared" si="0"/>
        <v>0</v>
      </c>
      <c r="P57" s="18" t="s">
        <v>552</v>
      </c>
      <c r="Q57" s="18"/>
      <c r="U57">
        <f t="shared" si="1"/>
        <v>0</v>
      </c>
      <c r="V57">
        <f t="shared" si="2"/>
        <v>0</v>
      </c>
      <c r="W57" t="str" cm="1">
        <f t="array" ref="W57">_xlfn.IFS(V57&gt;20,"P1: Critical",15&lt;V57&lt;20,"P2: High",V57&lt;10&lt;15,"P3:Medium",V57&lt;10,"P4: Low")</f>
        <v>P4: Low</v>
      </c>
    </row>
    <row r="58" spans="1:23" ht="160" customHeight="1" x14ac:dyDescent="0.35">
      <c r="A58" s="4" t="s">
        <v>239</v>
      </c>
      <c r="B58" s="4" t="s">
        <v>240</v>
      </c>
      <c r="C58" s="4" t="s">
        <v>253</v>
      </c>
      <c r="D58" s="5" t="s">
        <v>254</v>
      </c>
      <c r="E58" s="4" t="s">
        <v>255</v>
      </c>
      <c r="F58" s="11" t="s">
        <v>256</v>
      </c>
      <c r="G58" s="4" t="s">
        <v>34</v>
      </c>
      <c r="H58" s="4"/>
      <c r="I58" s="4"/>
      <c r="J58" s="4"/>
      <c r="K58" s="6" t="s">
        <v>522</v>
      </c>
      <c r="L58" s="6" t="str">
        <f>VLOOKUP(K58, 'Maturity Scale'!A:B,2,FALSE)</f>
        <v>TBD</v>
      </c>
      <c r="M58" s="7"/>
      <c r="N58" s="7" t="e">
        <f>VLOOKUP(M58,'Maturity Scale'!A:B,2,FALSE)</f>
        <v>#N/A</v>
      </c>
      <c r="O58" s="15" t="e">
        <f t="shared" si="0"/>
        <v>#VALUE!</v>
      </c>
      <c r="P58" s="18"/>
      <c r="Q58" s="18"/>
      <c r="U58">
        <f t="shared" si="1"/>
        <v>0</v>
      </c>
      <c r="V58">
        <f t="shared" si="2"/>
        <v>0</v>
      </c>
      <c r="W58" t="str" cm="1">
        <f t="array" ref="W58">_xlfn.IFS(V58&gt;20,"P1: Critical",15&lt;V58&lt;20,"P2: High",V58&lt;10&lt;15,"P3:Medium",V58&lt;10,"P4: Low")</f>
        <v>P4: Low</v>
      </c>
    </row>
    <row r="59" spans="1:23" ht="160" customHeight="1" x14ac:dyDescent="0.35">
      <c r="A59" s="4" t="s">
        <v>239</v>
      </c>
      <c r="B59" s="4" t="s">
        <v>240</v>
      </c>
      <c r="C59" s="4" t="s">
        <v>257</v>
      </c>
      <c r="D59" s="5" t="s">
        <v>258</v>
      </c>
      <c r="E59" s="4" t="s">
        <v>259</v>
      </c>
      <c r="F59" s="11" t="s">
        <v>260</v>
      </c>
      <c r="G59" s="4" t="s">
        <v>34</v>
      </c>
      <c r="H59" s="4"/>
      <c r="I59" s="4"/>
      <c r="J59" s="4"/>
      <c r="K59" s="6">
        <v>1</v>
      </c>
      <c r="L59" s="6" t="str">
        <f>VLOOKUP(K59, 'Maturity Scale'!A:B,2,FALSE)</f>
        <v>Partial</v>
      </c>
      <c r="M59" s="7">
        <v>3</v>
      </c>
      <c r="N59" s="7" t="str">
        <f>VLOOKUP(M59,'Maturity Scale'!A:B,2,FALSE)</f>
        <v>Repeatable</v>
      </c>
      <c r="O59" s="15">
        <f t="shared" si="0"/>
        <v>2</v>
      </c>
      <c r="P59" s="18" t="s">
        <v>553</v>
      </c>
      <c r="Q59" s="18"/>
      <c r="U59">
        <f t="shared" si="1"/>
        <v>0</v>
      </c>
      <c r="V59">
        <f t="shared" si="2"/>
        <v>0</v>
      </c>
      <c r="W59" t="str" cm="1">
        <f t="array" ref="W59">_xlfn.IFS(V59&gt;20,"P1: Critical",15&lt;V59&lt;20,"P2: High",V59&lt;10&lt;15,"P3:Medium",V59&lt;10,"P4: Low")</f>
        <v>P4: Low</v>
      </c>
    </row>
    <row r="60" spans="1:23" ht="112" customHeight="1" x14ac:dyDescent="0.35">
      <c r="A60" s="4" t="s">
        <v>239</v>
      </c>
      <c r="B60" s="4" t="s">
        <v>240</v>
      </c>
      <c r="C60" s="4" t="s">
        <v>261</v>
      </c>
      <c r="D60" s="5" t="s">
        <v>262</v>
      </c>
      <c r="E60" s="4" t="s">
        <v>263</v>
      </c>
      <c r="F60" s="11" t="s">
        <v>264</v>
      </c>
      <c r="G60" s="4" t="s">
        <v>20</v>
      </c>
      <c r="H60" s="4"/>
      <c r="I60" s="4"/>
      <c r="J60" s="4"/>
      <c r="K60" s="6">
        <v>1</v>
      </c>
      <c r="L60" s="6" t="str">
        <f>VLOOKUP(K60, 'Maturity Scale'!A:B,2,FALSE)</f>
        <v>Partial</v>
      </c>
      <c r="M60" s="7">
        <v>3</v>
      </c>
      <c r="N60" s="7" t="str">
        <f>VLOOKUP(M60,'Maturity Scale'!A:B,2,FALSE)</f>
        <v>Repeatable</v>
      </c>
      <c r="O60" s="15">
        <f t="shared" si="0"/>
        <v>2</v>
      </c>
      <c r="P60" s="18" t="s">
        <v>554</v>
      </c>
      <c r="Q60" s="18"/>
      <c r="U60">
        <f t="shared" si="1"/>
        <v>0</v>
      </c>
      <c r="V60">
        <f t="shared" si="2"/>
        <v>0</v>
      </c>
      <c r="W60" t="str" cm="1">
        <f t="array" ref="W60">_xlfn.IFS(V60&gt;20,"P1: Critical",15&lt;V60&lt;20,"P2: High",V60&lt;10&lt;15,"P3:Medium",V60&lt;10,"P4: Low")</f>
        <v>P4: Low</v>
      </c>
    </row>
    <row r="61" spans="1:23" ht="208" customHeight="1" x14ac:dyDescent="0.35">
      <c r="A61" s="4" t="s">
        <v>239</v>
      </c>
      <c r="B61" s="4" t="s">
        <v>265</v>
      </c>
      <c r="C61" s="4" t="s">
        <v>266</v>
      </c>
      <c r="D61" s="5" t="s">
        <v>267</v>
      </c>
      <c r="E61" s="4" t="s">
        <v>268</v>
      </c>
      <c r="F61" s="11" t="s">
        <v>269</v>
      </c>
      <c r="G61" s="4" t="s">
        <v>85</v>
      </c>
      <c r="H61" s="4"/>
      <c r="I61" s="4"/>
      <c r="J61" s="4"/>
      <c r="K61" s="6">
        <v>1</v>
      </c>
      <c r="L61" s="6" t="str">
        <f>VLOOKUP(K61, 'Maturity Scale'!A:B,2,FALSE)</f>
        <v>Partial</v>
      </c>
      <c r="M61" s="7">
        <v>3</v>
      </c>
      <c r="N61" s="7" t="str">
        <f>VLOOKUP(M61,'Maturity Scale'!A:B,2,FALSE)</f>
        <v>Repeatable</v>
      </c>
      <c r="O61" s="15">
        <f t="shared" si="0"/>
        <v>2</v>
      </c>
      <c r="P61" s="18" t="s">
        <v>555</v>
      </c>
      <c r="Q61" s="18"/>
      <c r="U61">
        <f t="shared" si="1"/>
        <v>0</v>
      </c>
      <c r="V61">
        <f t="shared" si="2"/>
        <v>0</v>
      </c>
      <c r="W61" t="str" cm="1">
        <f t="array" ref="W61">_xlfn.IFS(V61&gt;20,"P1: Critical",15&lt;V61&lt;20,"P2: High",V61&lt;10&lt;15,"P3:Medium",V61&lt;10,"P4: Low")</f>
        <v>P4: Low</v>
      </c>
    </row>
    <row r="62" spans="1:23" ht="176" customHeight="1" x14ac:dyDescent="0.35">
      <c r="A62" s="4" t="s">
        <v>239</v>
      </c>
      <c r="B62" s="4" t="s">
        <v>265</v>
      </c>
      <c r="C62" s="4" t="s">
        <v>270</v>
      </c>
      <c r="D62" s="5" t="s">
        <v>271</v>
      </c>
      <c r="E62" s="4" t="s">
        <v>272</v>
      </c>
      <c r="F62" s="11" t="s">
        <v>273</v>
      </c>
      <c r="G62" s="4" t="s">
        <v>85</v>
      </c>
      <c r="H62" s="4"/>
      <c r="I62" s="4"/>
      <c r="J62" s="4"/>
      <c r="K62" s="6">
        <v>1</v>
      </c>
      <c r="L62" s="6" t="str">
        <f>VLOOKUP(K62, 'Maturity Scale'!A:B,2,FALSE)</f>
        <v>Partial</v>
      </c>
      <c r="M62" s="7">
        <v>3</v>
      </c>
      <c r="N62" s="7" t="str">
        <f>VLOOKUP(M62,'Maturity Scale'!A:B,2,FALSE)</f>
        <v>Repeatable</v>
      </c>
      <c r="O62" s="15">
        <f t="shared" si="0"/>
        <v>2</v>
      </c>
      <c r="P62" s="18" t="s">
        <v>555</v>
      </c>
      <c r="Q62" s="18"/>
      <c r="U62">
        <f t="shared" si="1"/>
        <v>0</v>
      </c>
      <c r="V62">
        <f t="shared" si="2"/>
        <v>0</v>
      </c>
      <c r="W62" t="str" cm="1">
        <f t="array" ref="W62">_xlfn.IFS(V62&gt;20,"P1: Critical",15&lt;V62&lt;20,"P2: High",V62&lt;10&lt;15,"P3:Medium",V62&lt;10,"P4: Low")</f>
        <v>P4: Low</v>
      </c>
    </row>
    <row r="63" spans="1:23" ht="144" customHeight="1" x14ac:dyDescent="0.35">
      <c r="A63" s="4" t="s">
        <v>239</v>
      </c>
      <c r="B63" s="4" t="s">
        <v>274</v>
      </c>
      <c r="C63" s="4" t="s">
        <v>275</v>
      </c>
      <c r="D63" s="5" t="s">
        <v>276</v>
      </c>
      <c r="E63" s="4" t="s">
        <v>277</v>
      </c>
      <c r="F63" s="11" t="s">
        <v>278</v>
      </c>
      <c r="G63" s="4" t="s">
        <v>142</v>
      </c>
      <c r="H63" s="4"/>
      <c r="I63" s="4"/>
      <c r="J63" s="4"/>
      <c r="K63" s="6">
        <v>3</v>
      </c>
      <c r="L63" s="6" t="str">
        <f>VLOOKUP(K63, 'Maturity Scale'!A:B,2,FALSE)</f>
        <v>Repeatable</v>
      </c>
      <c r="M63" s="7">
        <v>3</v>
      </c>
      <c r="N63" s="7" t="str">
        <f>VLOOKUP(M63,'Maturity Scale'!A:B,2,FALSE)</f>
        <v>Repeatable</v>
      </c>
      <c r="O63" s="15">
        <f t="shared" si="0"/>
        <v>0</v>
      </c>
      <c r="P63" s="18" t="s">
        <v>556</v>
      </c>
      <c r="Q63" s="18"/>
      <c r="U63">
        <f t="shared" si="1"/>
        <v>0</v>
      </c>
      <c r="V63">
        <f t="shared" si="2"/>
        <v>0</v>
      </c>
      <c r="W63" t="str" cm="1">
        <f t="array" ref="W63">_xlfn.IFS(V63&gt;20,"P1: Critical",15&lt;V63&lt;20,"P2: High",V63&lt;10&lt;15,"P3:Medium",V63&lt;10,"P4: Low")</f>
        <v>P4: Low</v>
      </c>
    </row>
    <row r="64" spans="1:23" ht="176" customHeight="1" x14ac:dyDescent="0.35">
      <c r="A64" s="4" t="s">
        <v>239</v>
      </c>
      <c r="B64" s="4" t="s">
        <v>274</v>
      </c>
      <c r="C64" s="4" t="s">
        <v>279</v>
      </c>
      <c r="D64" s="5" t="s">
        <v>280</v>
      </c>
      <c r="E64" s="4" t="s">
        <v>281</v>
      </c>
      <c r="F64" s="11" t="s">
        <v>282</v>
      </c>
      <c r="G64" s="4" t="s">
        <v>142</v>
      </c>
      <c r="H64" s="4"/>
      <c r="I64" s="4"/>
      <c r="J64" s="4"/>
      <c r="K64" s="6">
        <v>3</v>
      </c>
      <c r="L64" s="6" t="str">
        <f>VLOOKUP(K64, 'Maturity Scale'!A:B,2,FALSE)</f>
        <v>Repeatable</v>
      </c>
      <c r="M64" s="7">
        <v>3</v>
      </c>
      <c r="N64" s="7" t="str">
        <f>VLOOKUP(M64,'Maturity Scale'!A:B,2,FALSE)</f>
        <v>Repeatable</v>
      </c>
      <c r="O64" s="15">
        <f t="shared" si="0"/>
        <v>0</v>
      </c>
      <c r="P64" s="18" t="s">
        <v>557</v>
      </c>
      <c r="Q64" s="18"/>
      <c r="U64">
        <f t="shared" si="1"/>
        <v>0</v>
      </c>
      <c r="V64">
        <f t="shared" si="2"/>
        <v>0</v>
      </c>
      <c r="W64" t="str" cm="1">
        <f t="array" ref="W64">_xlfn.IFS(V64&gt;20,"P1: Critical",15&lt;V64&lt;20,"P2: High",V64&lt;10&lt;15,"P3:Medium",V64&lt;10,"P4: Low")</f>
        <v>P4: Low</v>
      </c>
    </row>
    <row r="65" spans="1:23" ht="112" customHeight="1" x14ac:dyDescent="0.35">
      <c r="A65" s="4" t="s">
        <v>239</v>
      </c>
      <c r="B65" s="4" t="s">
        <v>274</v>
      </c>
      <c r="C65" s="4" t="s">
        <v>283</v>
      </c>
      <c r="D65" s="5" t="s">
        <v>284</v>
      </c>
      <c r="E65" s="4" t="s">
        <v>285</v>
      </c>
      <c r="F65" s="11" t="s">
        <v>286</v>
      </c>
      <c r="G65" s="4" t="s">
        <v>142</v>
      </c>
      <c r="H65" s="4"/>
      <c r="I65" s="4"/>
      <c r="J65" s="4"/>
      <c r="K65" s="6">
        <v>3</v>
      </c>
      <c r="L65" s="6" t="str">
        <f>VLOOKUP(K65, 'Maturity Scale'!A:B,2,FALSE)</f>
        <v>Repeatable</v>
      </c>
      <c r="M65" s="7">
        <v>3</v>
      </c>
      <c r="N65" s="7" t="str">
        <f>VLOOKUP(M65,'Maturity Scale'!A:B,2,FALSE)</f>
        <v>Repeatable</v>
      </c>
      <c r="O65" s="15">
        <f t="shared" si="0"/>
        <v>0</v>
      </c>
      <c r="P65" s="18" t="s">
        <v>556</v>
      </c>
      <c r="Q65" s="18"/>
      <c r="U65">
        <f t="shared" si="1"/>
        <v>0</v>
      </c>
      <c r="V65">
        <f t="shared" si="2"/>
        <v>0</v>
      </c>
      <c r="W65" t="str" cm="1">
        <f t="array" ref="W65">_xlfn.IFS(V65&gt;20,"P1: Critical",15&lt;V65&lt;20,"P2: High",V65&lt;10&lt;15,"P3:Medium",V65&lt;10,"P4: Low")</f>
        <v>P4: Low</v>
      </c>
    </row>
    <row r="66" spans="1:23" ht="128" customHeight="1" x14ac:dyDescent="0.35">
      <c r="A66" s="4" t="s">
        <v>239</v>
      </c>
      <c r="B66" s="4" t="s">
        <v>274</v>
      </c>
      <c r="C66" s="4" t="s">
        <v>287</v>
      </c>
      <c r="D66" s="5" t="s">
        <v>288</v>
      </c>
      <c r="E66" s="4" t="s">
        <v>289</v>
      </c>
      <c r="F66" s="11" t="s">
        <v>290</v>
      </c>
      <c r="G66" s="4" t="s">
        <v>34</v>
      </c>
      <c r="H66" s="4"/>
      <c r="I66" s="4"/>
      <c r="J66" s="4"/>
      <c r="K66" s="6">
        <v>3</v>
      </c>
      <c r="L66" s="6" t="str">
        <f>VLOOKUP(K66, 'Maturity Scale'!A:B,2,FALSE)</f>
        <v>Repeatable</v>
      </c>
      <c r="M66" s="7">
        <v>3</v>
      </c>
      <c r="N66" s="7" t="str">
        <f>VLOOKUP(M66,'Maturity Scale'!A:B,2,FALSE)</f>
        <v>Repeatable</v>
      </c>
      <c r="O66" s="15">
        <f t="shared" si="0"/>
        <v>0</v>
      </c>
      <c r="P66" s="18" t="s">
        <v>558</v>
      </c>
      <c r="Q66" s="18"/>
      <c r="U66">
        <f t="shared" si="1"/>
        <v>0</v>
      </c>
      <c r="V66">
        <f t="shared" si="2"/>
        <v>0</v>
      </c>
      <c r="W66" t="str" cm="1">
        <f t="array" ref="W66">_xlfn.IFS(V66&gt;20,"P1: Critical",15&lt;V66&lt;20,"P2: High",V66&lt;10&lt;15,"P3:Medium",V66&lt;10,"P4: Low")</f>
        <v>P4: Low</v>
      </c>
    </row>
    <row r="67" spans="1:23" ht="128" customHeight="1" x14ac:dyDescent="0.35">
      <c r="A67" s="4" t="s">
        <v>239</v>
      </c>
      <c r="B67" s="4" t="s">
        <v>291</v>
      </c>
      <c r="C67" s="4" t="s">
        <v>292</v>
      </c>
      <c r="D67" s="5" t="s">
        <v>293</v>
      </c>
      <c r="E67" s="4" t="s">
        <v>294</v>
      </c>
      <c r="F67" s="11" t="s">
        <v>295</v>
      </c>
      <c r="G67" s="4" t="s">
        <v>296</v>
      </c>
      <c r="H67" s="4"/>
      <c r="I67" s="4"/>
      <c r="J67" s="4"/>
      <c r="K67" s="6">
        <v>1</v>
      </c>
      <c r="L67" s="6" t="str">
        <f>VLOOKUP(K67, 'Maturity Scale'!A:B,2,FALSE)</f>
        <v>Partial</v>
      </c>
      <c r="M67" s="7">
        <v>3</v>
      </c>
      <c r="N67" s="7" t="str">
        <f>VLOOKUP(M67,'Maturity Scale'!A:B,2,FALSE)</f>
        <v>Repeatable</v>
      </c>
      <c r="O67" s="15">
        <f t="shared" si="0"/>
        <v>2</v>
      </c>
      <c r="P67" s="18" t="s">
        <v>559</v>
      </c>
      <c r="Q67" s="18"/>
      <c r="U67">
        <f t="shared" si="1"/>
        <v>0</v>
      </c>
      <c r="V67">
        <f t="shared" si="2"/>
        <v>0</v>
      </c>
      <c r="W67" t="str" cm="1">
        <f t="array" ref="W67">_xlfn.IFS(V67&gt;20,"P1: Critical",15&lt;V67&lt;20,"P2: High",V67&lt;10&lt;15,"P3:Medium",V67&lt;10,"P4: Low")</f>
        <v>P4: Low</v>
      </c>
    </row>
    <row r="68" spans="1:23" ht="192" customHeight="1" x14ac:dyDescent="0.35">
      <c r="A68" s="4" t="s">
        <v>239</v>
      </c>
      <c r="B68" s="4" t="s">
        <v>291</v>
      </c>
      <c r="C68" s="4" t="s">
        <v>297</v>
      </c>
      <c r="D68" s="5" t="s">
        <v>298</v>
      </c>
      <c r="E68" s="4" t="s">
        <v>299</v>
      </c>
      <c r="F68" s="11" t="s">
        <v>300</v>
      </c>
      <c r="G68" s="4" t="s">
        <v>34</v>
      </c>
      <c r="H68" s="4"/>
      <c r="I68" s="4"/>
      <c r="J68" s="4"/>
      <c r="K68" s="6">
        <v>1</v>
      </c>
      <c r="L68" s="6" t="str">
        <f>VLOOKUP(K68, 'Maturity Scale'!A:B,2,FALSE)</f>
        <v>Partial</v>
      </c>
      <c r="M68" s="7">
        <v>3</v>
      </c>
      <c r="N68" s="7" t="str">
        <f>VLOOKUP(M68,'Maturity Scale'!A:B,2,FALSE)</f>
        <v>Repeatable</v>
      </c>
      <c r="O68" s="15">
        <f t="shared" ref="O68:O108" si="3">M68-K68</f>
        <v>2</v>
      </c>
      <c r="P68" s="18" t="s">
        <v>560</v>
      </c>
      <c r="Q68" s="18"/>
      <c r="U68">
        <f t="shared" ref="U68:U108" si="4">MAX(R68,S68,T68)</f>
        <v>0</v>
      </c>
      <c r="V68">
        <f t="shared" ref="V68:V108" si="5">Q68*U68</f>
        <v>0</v>
      </c>
      <c r="W68" t="str" cm="1">
        <f t="array" ref="W68">_xlfn.IFS(V68&gt;20,"P1: Critical",15&lt;V68&lt;20,"P2: High",V68&lt;10&lt;15,"P3:Medium",V68&lt;10,"P4: Low")</f>
        <v>P4: Low</v>
      </c>
    </row>
    <row r="69" spans="1:23" ht="96" customHeight="1" x14ac:dyDescent="0.35">
      <c r="A69" s="4" t="s">
        <v>239</v>
      </c>
      <c r="B69" s="4" t="s">
        <v>291</v>
      </c>
      <c r="C69" s="4" t="s">
        <v>301</v>
      </c>
      <c r="D69" s="5" t="s">
        <v>302</v>
      </c>
      <c r="E69" s="4" t="s">
        <v>303</v>
      </c>
      <c r="F69" s="11" t="s">
        <v>304</v>
      </c>
      <c r="G69" s="4" t="s">
        <v>34</v>
      </c>
      <c r="H69" s="4"/>
      <c r="I69" s="4"/>
      <c r="J69" s="4"/>
      <c r="K69" s="6">
        <v>1</v>
      </c>
      <c r="L69" s="6" t="str">
        <f>VLOOKUP(K69, 'Maturity Scale'!A:B,2,FALSE)</f>
        <v>Partial</v>
      </c>
      <c r="M69" s="7">
        <v>3</v>
      </c>
      <c r="N69" s="7" t="str">
        <f>VLOOKUP(M69,'Maturity Scale'!A:B,2,FALSE)</f>
        <v>Repeatable</v>
      </c>
      <c r="O69" s="15">
        <f t="shared" si="3"/>
        <v>2</v>
      </c>
      <c r="P69" s="18" t="s">
        <v>561</v>
      </c>
      <c r="Q69" s="18"/>
      <c r="U69">
        <f t="shared" si="4"/>
        <v>0</v>
      </c>
      <c r="V69">
        <f t="shared" si="5"/>
        <v>0</v>
      </c>
      <c r="W69" t="str" cm="1">
        <f t="array" ref="W69">_xlfn.IFS(V69&gt;20,"P1: Critical",15&lt;V69&lt;20,"P2: High",V69&lt;10&lt;15,"P3:Medium",V69&lt;10,"P4: Low")</f>
        <v>P4: Low</v>
      </c>
    </row>
    <row r="70" spans="1:23" ht="96" customHeight="1" x14ac:dyDescent="0.35">
      <c r="A70" s="4" t="s">
        <v>239</v>
      </c>
      <c r="B70" s="4" t="s">
        <v>291</v>
      </c>
      <c r="C70" s="4" t="s">
        <v>305</v>
      </c>
      <c r="D70" s="5" t="s">
        <v>306</v>
      </c>
      <c r="E70" s="4" t="s">
        <v>307</v>
      </c>
      <c r="F70" s="11" t="s">
        <v>308</v>
      </c>
      <c r="G70" s="4" t="s">
        <v>34</v>
      </c>
      <c r="H70" s="4"/>
      <c r="I70" s="4"/>
      <c r="J70" s="4"/>
      <c r="K70" s="6">
        <v>2</v>
      </c>
      <c r="L70" s="6" t="str">
        <f>VLOOKUP(K70, 'Maturity Scale'!A:B,2,FALSE)</f>
        <v>Risk Informed</v>
      </c>
      <c r="M70" s="7">
        <v>3</v>
      </c>
      <c r="N70" s="7" t="str">
        <f>VLOOKUP(M70,'Maturity Scale'!A:B,2,FALSE)</f>
        <v>Repeatable</v>
      </c>
      <c r="O70" s="15">
        <f t="shared" si="3"/>
        <v>1</v>
      </c>
      <c r="P70" s="18" t="s">
        <v>562</v>
      </c>
      <c r="Q70" s="18"/>
      <c r="U70">
        <f t="shared" si="4"/>
        <v>0</v>
      </c>
      <c r="V70">
        <f t="shared" si="5"/>
        <v>0</v>
      </c>
      <c r="W70" t="str" cm="1">
        <f t="array" ref="W70">_xlfn.IFS(V70&gt;20,"P1: Critical",15&lt;V70&lt;20,"P2: High",V70&lt;10&lt;15,"P3:Medium",V70&lt;10,"P4: Low")</f>
        <v>P4: Low</v>
      </c>
    </row>
    <row r="71" spans="1:23" ht="144" customHeight="1" x14ac:dyDescent="0.35">
      <c r="A71" s="4" t="s">
        <v>239</v>
      </c>
      <c r="B71" s="4" t="s">
        <v>291</v>
      </c>
      <c r="C71" s="4" t="s">
        <v>309</v>
      </c>
      <c r="D71" s="5" t="s">
        <v>310</v>
      </c>
      <c r="E71" s="4" t="s">
        <v>311</v>
      </c>
      <c r="F71" s="11" t="s">
        <v>312</v>
      </c>
      <c r="G71" s="4" t="s">
        <v>34</v>
      </c>
      <c r="H71" s="4"/>
      <c r="I71" s="4"/>
      <c r="J71" s="4"/>
      <c r="K71" s="6">
        <v>1</v>
      </c>
      <c r="L71" s="6" t="str">
        <f>VLOOKUP(K71, 'Maturity Scale'!A:B,2,FALSE)</f>
        <v>Partial</v>
      </c>
      <c r="M71" s="7">
        <v>3</v>
      </c>
      <c r="N71" s="7" t="str">
        <f>VLOOKUP(M71,'Maturity Scale'!A:B,2,FALSE)</f>
        <v>Repeatable</v>
      </c>
      <c r="O71" s="15">
        <f t="shared" si="3"/>
        <v>2</v>
      </c>
      <c r="P71" s="18" t="s">
        <v>561</v>
      </c>
      <c r="Q71" s="18"/>
      <c r="U71">
        <f t="shared" si="4"/>
        <v>0</v>
      </c>
      <c r="V71">
        <f t="shared" si="5"/>
        <v>0</v>
      </c>
      <c r="W71" t="str" cm="1">
        <f t="array" ref="W71">_xlfn.IFS(V71&gt;20,"P1: Critical",15&lt;V71&lt;20,"P2: High",V71&lt;10&lt;15,"P3:Medium",V71&lt;10,"P4: Low")</f>
        <v>P4: Low</v>
      </c>
    </row>
    <row r="72" spans="1:23" ht="112" customHeight="1" x14ac:dyDescent="0.35">
      <c r="A72" s="4" t="s">
        <v>239</v>
      </c>
      <c r="B72" s="4" t="s">
        <v>291</v>
      </c>
      <c r="C72" s="4" t="s">
        <v>313</v>
      </c>
      <c r="D72" s="5" t="s">
        <v>314</v>
      </c>
      <c r="E72" s="4" t="s">
        <v>315</v>
      </c>
      <c r="F72" s="12" t="s">
        <v>316</v>
      </c>
      <c r="G72" s="4" t="s">
        <v>317</v>
      </c>
      <c r="H72" s="4"/>
      <c r="I72" s="4"/>
      <c r="J72" s="4"/>
      <c r="K72" s="6" t="s">
        <v>522</v>
      </c>
      <c r="L72" s="6" t="str">
        <f>VLOOKUP(K72, 'Maturity Scale'!A:B,2,FALSE)</f>
        <v>TBD</v>
      </c>
      <c r="M72" s="7"/>
      <c r="N72" s="7" t="e">
        <f>VLOOKUP(M72,'Maturity Scale'!A:B,2,FALSE)</f>
        <v>#N/A</v>
      </c>
      <c r="O72" s="15" t="e">
        <f t="shared" si="3"/>
        <v>#VALUE!</v>
      </c>
      <c r="P72" s="18"/>
      <c r="Q72" s="18"/>
      <c r="U72">
        <f t="shared" si="4"/>
        <v>0</v>
      </c>
      <c r="V72">
        <f t="shared" si="5"/>
        <v>0</v>
      </c>
      <c r="W72" t="str" cm="1">
        <f t="array" ref="W72">_xlfn.IFS(V72&gt;20,"P1: Critical",15&lt;V72&lt;20,"P2: High",V72&lt;10&lt;15,"P3:Medium",V72&lt;10,"P4: Low")</f>
        <v>P4: Low</v>
      </c>
    </row>
    <row r="73" spans="1:23" ht="176" customHeight="1" x14ac:dyDescent="0.35">
      <c r="A73" s="4" t="s">
        <v>239</v>
      </c>
      <c r="B73" s="4" t="s">
        <v>318</v>
      </c>
      <c r="C73" s="4" t="s">
        <v>319</v>
      </c>
      <c r="D73" s="5" t="s">
        <v>320</v>
      </c>
      <c r="E73" s="4" t="s">
        <v>321</v>
      </c>
      <c r="F73" s="11" t="s">
        <v>322</v>
      </c>
      <c r="G73" s="4" t="s">
        <v>34</v>
      </c>
      <c r="H73" s="4"/>
      <c r="I73" s="4"/>
      <c r="J73" s="4"/>
      <c r="K73" s="6">
        <v>3</v>
      </c>
      <c r="L73" s="6" t="str">
        <f>VLOOKUP(K73, 'Maturity Scale'!A:B,2,FALSE)</f>
        <v>Repeatable</v>
      </c>
      <c r="M73" s="7">
        <v>3</v>
      </c>
      <c r="N73" s="7" t="str">
        <f>VLOOKUP(M73,'Maturity Scale'!A:B,2,FALSE)</f>
        <v>Repeatable</v>
      </c>
      <c r="O73" s="15">
        <f t="shared" si="3"/>
        <v>0</v>
      </c>
      <c r="P73" s="18" t="s">
        <v>563</v>
      </c>
      <c r="Q73" s="18"/>
      <c r="U73">
        <f t="shared" si="4"/>
        <v>0</v>
      </c>
      <c r="V73">
        <f t="shared" si="5"/>
        <v>0</v>
      </c>
      <c r="W73" t="str" cm="1">
        <f t="array" ref="W73">_xlfn.IFS(V73&gt;20,"P1: Critical",15&lt;V73&lt;20,"P2: High",V73&lt;10&lt;15,"P3:Medium",V73&lt;10,"P4: Low")</f>
        <v>P4: Low</v>
      </c>
    </row>
    <row r="74" spans="1:23" ht="80" customHeight="1" x14ac:dyDescent="0.35">
      <c r="A74" s="4" t="s">
        <v>239</v>
      </c>
      <c r="B74" s="4" t="s">
        <v>318</v>
      </c>
      <c r="C74" s="4" t="s">
        <v>323</v>
      </c>
      <c r="D74" s="5" t="s">
        <v>324</v>
      </c>
      <c r="E74" s="4" t="s">
        <v>325</v>
      </c>
      <c r="F74" s="11" t="s">
        <v>326</v>
      </c>
      <c r="G74" s="4" t="s">
        <v>296</v>
      </c>
      <c r="H74" s="4"/>
      <c r="I74" s="4"/>
      <c r="J74" s="4"/>
      <c r="K74" s="6">
        <v>3</v>
      </c>
      <c r="L74" s="6" t="str">
        <f>VLOOKUP(K74, 'Maturity Scale'!A:B,2,FALSE)</f>
        <v>Repeatable</v>
      </c>
      <c r="M74" s="7">
        <v>3</v>
      </c>
      <c r="N74" s="7" t="str">
        <f>VLOOKUP(M74,'Maturity Scale'!A:B,2,FALSE)</f>
        <v>Repeatable</v>
      </c>
      <c r="O74" s="15">
        <f t="shared" si="3"/>
        <v>0</v>
      </c>
      <c r="P74" s="18" t="s">
        <v>564</v>
      </c>
      <c r="Q74" s="18"/>
      <c r="U74">
        <f t="shared" si="4"/>
        <v>0</v>
      </c>
      <c r="V74">
        <f t="shared" si="5"/>
        <v>0</v>
      </c>
      <c r="W74" t="str" cm="1">
        <f t="array" ref="W74">_xlfn.IFS(V74&gt;20,"P1: Critical",15&lt;V74&lt;20,"P2: High",V74&lt;10&lt;15,"P3:Medium",V74&lt;10,"P4: Low")</f>
        <v>P4: Low</v>
      </c>
    </row>
    <row r="75" spans="1:23" ht="128" customHeight="1" x14ac:dyDescent="0.35">
      <c r="A75" s="4" t="s">
        <v>239</v>
      </c>
      <c r="B75" s="4" t="s">
        <v>318</v>
      </c>
      <c r="C75" s="4" t="s">
        <v>327</v>
      </c>
      <c r="D75" s="5" t="s">
        <v>328</v>
      </c>
      <c r="E75" s="4" t="s">
        <v>329</v>
      </c>
      <c r="F75" s="11" t="s">
        <v>330</v>
      </c>
      <c r="G75" s="4" t="s">
        <v>34</v>
      </c>
      <c r="H75" s="4"/>
      <c r="I75" s="4"/>
      <c r="J75" s="4"/>
      <c r="K75" s="6">
        <v>3</v>
      </c>
      <c r="L75" s="6" t="str">
        <f>VLOOKUP(K75, 'Maturity Scale'!A:B,2,FALSE)</f>
        <v>Repeatable</v>
      </c>
      <c r="M75" s="7">
        <v>3</v>
      </c>
      <c r="N75" s="7" t="str">
        <f>VLOOKUP(M75,'Maturity Scale'!A:B,2,FALSE)</f>
        <v>Repeatable</v>
      </c>
      <c r="O75" s="15">
        <f t="shared" si="3"/>
        <v>0</v>
      </c>
      <c r="P75" s="18" t="s">
        <v>564</v>
      </c>
      <c r="Q75" s="18"/>
      <c r="U75">
        <f t="shared" si="4"/>
        <v>0</v>
      </c>
      <c r="V75">
        <f t="shared" si="5"/>
        <v>0</v>
      </c>
      <c r="W75" t="str" cm="1">
        <f t="array" ref="W75">_xlfn.IFS(V75&gt;20,"P1: Critical",15&lt;V75&lt;20,"P2: High",V75&lt;10&lt;15,"P3:Medium",V75&lt;10,"P4: Low")</f>
        <v>P4: Low</v>
      </c>
    </row>
    <row r="76" spans="1:23" ht="48" customHeight="1" x14ac:dyDescent="0.35">
      <c r="A76" s="4" t="s">
        <v>239</v>
      </c>
      <c r="B76" s="4" t="s">
        <v>318</v>
      </c>
      <c r="C76" s="4" t="s">
        <v>331</v>
      </c>
      <c r="D76" s="5" t="s">
        <v>332</v>
      </c>
      <c r="E76" s="4" t="s">
        <v>333</v>
      </c>
      <c r="F76" s="11" t="s">
        <v>334</v>
      </c>
      <c r="G76" s="4" t="s">
        <v>317</v>
      </c>
      <c r="H76" s="4"/>
      <c r="I76" s="4"/>
      <c r="J76" s="4"/>
      <c r="K76" s="6">
        <v>3</v>
      </c>
      <c r="L76" s="6" t="str">
        <f>VLOOKUP(K76, 'Maturity Scale'!A:B,2,FALSE)</f>
        <v>Repeatable</v>
      </c>
      <c r="M76" s="7"/>
      <c r="N76" s="7" t="e">
        <f>VLOOKUP(M76,'Maturity Scale'!A:B,2,FALSE)</f>
        <v>#N/A</v>
      </c>
      <c r="O76" s="15">
        <f t="shared" si="3"/>
        <v>-3</v>
      </c>
      <c r="P76" s="18" t="s">
        <v>564</v>
      </c>
      <c r="Q76" s="18"/>
      <c r="U76">
        <f t="shared" si="4"/>
        <v>0</v>
      </c>
      <c r="V76">
        <f t="shared" si="5"/>
        <v>0</v>
      </c>
      <c r="W76" t="str" cm="1">
        <f t="array" ref="W76">_xlfn.IFS(V76&gt;20,"P1: Critical",15&lt;V76&lt;20,"P2: High",V76&lt;10&lt;15,"P3:Medium",V76&lt;10,"P4: Low")</f>
        <v>P4: Low</v>
      </c>
    </row>
    <row r="77" spans="1:23" ht="128" customHeight="1" x14ac:dyDescent="0.35">
      <c r="A77" s="4" t="s">
        <v>335</v>
      </c>
      <c r="B77" s="4" t="s">
        <v>336</v>
      </c>
      <c r="C77" s="4" t="s">
        <v>337</v>
      </c>
      <c r="D77" s="5" t="s">
        <v>338</v>
      </c>
      <c r="E77" s="4" t="s">
        <v>339</v>
      </c>
      <c r="F77" s="11" t="s">
        <v>340</v>
      </c>
      <c r="G77" s="4" t="s">
        <v>341</v>
      </c>
      <c r="H77" s="4"/>
      <c r="I77" s="4"/>
      <c r="J77" s="4"/>
      <c r="K77" s="6">
        <v>3</v>
      </c>
      <c r="L77" s="6" t="str">
        <f>VLOOKUP(K77, 'Maturity Scale'!A:B,2,FALSE)</f>
        <v>Repeatable</v>
      </c>
      <c r="M77" s="7">
        <v>3</v>
      </c>
      <c r="N77" s="7" t="str">
        <f>VLOOKUP(M77,'Maturity Scale'!A:B,2,FALSE)</f>
        <v>Repeatable</v>
      </c>
      <c r="O77" s="15">
        <f t="shared" si="3"/>
        <v>0</v>
      </c>
      <c r="P77" s="18" t="s">
        <v>565</v>
      </c>
      <c r="Q77" s="18"/>
      <c r="U77">
        <f t="shared" si="4"/>
        <v>0</v>
      </c>
      <c r="V77">
        <f t="shared" si="5"/>
        <v>0</v>
      </c>
      <c r="W77" t="str" cm="1">
        <f t="array" ref="W77">_xlfn.IFS(V77&gt;20,"P1: Critical",15&lt;V77&lt;20,"P2: High",V77&lt;10&lt;15,"P3:Medium",V77&lt;10,"P4: Low")</f>
        <v>P4: Low</v>
      </c>
    </row>
    <row r="78" spans="1:23" ht="144" customHeight="1" x14ac:dyDescent="0.35">
      <c r="A78" s="4" t="s">
        <v>335</v>
      </c>
      <c r="B78" s="4" t="s">
        <v>336</v>
      </c>
      <c r="C78" s="4" t="s">
        <v>342</v>
      </c>
      <c r="D78" s="5" t="s">
        <v>343</v>
      </c>
      <c r="E78" s="4" t="s">
        <v>344</v>
      </c>
      <c r="F78" s="11" t="s">
        <v>345</v>
      </c>
      <c r="G78" s="4" t="s">
        <v>20</v>
      </c>
      <c r="H78" s="4"/>
      <c r="I78" s="4"/>
      <c r="J78" s="4"/>
      <c r="K78" s="6">
        <v>1</v>
      </c>
      <c r="L78" s="6" t="str">
        <f>VLOOKUP(K78, 'Maturity Scale'!A:B,2,FALSE)</f>
        <v>Partial</v>
      </c>
      <c r="M78" s="7">
        <v>3</v>
      </c>
      <c r="N78" s="7" t="str">
        <f>VLOOKUP(M78,'Maturity Scale'!A:B,2,FALSE)</f>
        <v>Repeatable</v>
      </c>
      <c r="O78" s="15">
        <f t="shared" si="3"/>
        <v>2</v>
      </c>
      <c r="P78" s="18" t="s">
        <v>560</v>
      </c>
      <c r="Q78" s="18"/>
      <c r="U78">
        <f t="shared" si="4"/>
        <v>0</v>
      </c>
      <c r="V78">
        <f t="shared" si="5"/>
        <v>0</v>
      </c>
      <c r="W78" t="str" cm="1">
        <f t="array" ref="W78">_xlfn.IFS(V78&gt;20,"P1: Critical",15&lt;V78&lt;20,"P2: High",V78&lt;10&lt;15,"P3:Medium",V78&lt;10,"P4: Low")</f>
        <v>P4: Low</v>
      </c>
    </row>
    <row r="79" spans="1:23" ht="96" customHeight="1" x14ac:dyDescent="0.35">
      <c r="A79" s="4" t="s">
        <v>335</v>
      </c>
      <c r="B79" s="4" t="s">
        <v>336</v>
      </c>
      <c r="C79" s="4" t="s">
        <v>346</v>
      </c>
      <c r="D79" s="5" t="s">
        <v>347</v>
      </c>
      <c r="E79" s="4" t="s">
        <v>348</v>
      </c>
      <c r="F79" s="11" t="s">
        <v>349</v>
      </c>
      <c r="G79" s="4" t="s">
        <v>34</v>
      </c>
      <c r="H79" s="4"/>
      <c r="I79" s="4"/>
      <c r="J79" s="4"/>
      <c r="K79" s="6">
        <v>3</v>
      </c>
      <c r="L79" s="6" t="str">
        <f>VLOOKUP(K79, 'Maturity Scale'!A:B,2,FALSE)</f>
        <v>Repeatable</v>
      </c>
      <c r="M79" s="7">
        <v>3</v>
      </c>
      <c r="N79" s="7" t="str">
        <f>VLOOKUP(M79,'Maturity Scale'!A:B,2,FALSE)</f>
        <v>Repeatable</v>
      </c>
      <c r="O79" s="15">
        <f t="shared" si="3"/>
        <v>0</v>
      </c>
      <c r="P79" s="18" t="s">
        <v>565</v>
      </c>
      <c r="Q79" s="18"/>
      <c r="U79">
        <f t="shared" si="4"/>
        <v>0</v>
      </c>
      <c r="V79">
        <f t="shared" si="5"/>
        <v>0</v>
      </c>
      <c r="W79" t="str" cm="1">
        <f t="array" ref="W79">_xlfn.IFS(V79&gt;20,"P1: Critical",15&lt;V79&lt;20,"P2: High",V79&lt;10&lt;15,"P3:Medium",V79&lt;10,"P4: Low")</f>
        <v>P4: Low</v>
      </c>
    </row>
    <row r="80" spans="1:23" ht="80" customHeight="1" x14ac:dyDescent="0.35">
      <c r="A80" s="4" t="s">
        <v>335</v>
      </c>
      <c r="B80" s="4" t="s">
        <v>336</v>
      </c>
      <c r="C80" s="4" t="s">
        <v>350</v>
      </c>
      <c r="D80" s="5" t="s">
        <v>351</v>
      </c>
      <c r="E80" s="4" t="s">
        <v>352</v>
      </c>
      <c r="F80" s="11" t="s">
        <v>353</v>
      </c>
      <c r="G80" s="4" t="s">
        <v>341</v>
      </c>
      <c r="H80" s="4"/>
      <c r="I80" s="4"/>
      <c r="J80" s="4"/>
      <c r="K80" s="6">
        <v>3</v>
      </c>
      <c r="L80" s="6" t="str">
        <f>VLOOKUP(K80, 'Maturity Scale'!A:B,2,FALSE)</f>
        <v>Repeatable</v>
      </c>
      <c r="M80" s="7">
        <v>3</v>
      </c>
      <c r="N80" s="7" t="str">
        <f>VLOOKUP(M80,'Maturity Scale'!A:B,2,FALSE)</f>
        <v>Repeatable</v>
      </c>
      <c r="O80" s="15">
        <f t="shared" si="3"/>
        <v>0</v>
      </c>
      <c r="P80" s="18" t="s">
        <v>565</v>
      </c>
      <c r="Q80" s="18"/>
      <c r="U80">
        <f t="shared" si="4"/>
        <v>0</v>
      </c>
      <c r="V80">
        <f t="shared" si="5"/>
        <v>0</v>
      </c>
      <c r="W80" t="str" cm="1">
        <f t="array" ref="W80">_xlfn.IFS(V80&gt;20,"P1: Critical",15&lt;V80&lt;20,"P2: High",V80&lt;10&lt;15,"P3:Medium",V80&lt;10,"P4: Low")</f>
        <v>P4: Low</v>
      </c>
    </row>
    <row r="81" spans="1:23" ht="192" customHeight="1" x14ac:dyDescent="0.35">
      <c r="A81" s="4" t="s">
        <v>335</v>
      </c>
      <c r="B81" s="4" t="s">
        <v>336</v>
      </c>
      <c r="C81" s="4" t="s">
        <v>354</v>
      </c>
      <c r="D81" s="5" t="s">
        <v>355</v>
      </c>
      <c r="E81" s="4" t="s">
        <v>356</v>
      </c>
      <c r="F81" s="11" t="s">
        <v>357</v>
      </c>
      <c r="G81" s="4" t="s">
        <v>341</v>
      </c>
      <c r="H81" s="4"/>
      <c r="I81" s="4"/>
      <c r="J81" s="4"/>
      <c r="K81" s="6">
        <v>3</v>
      </c>
      <c r="L81" s="6" t="str">
        <f>VLOOKUP(K81, 'Maturity Scale'!A:B,2,FALSE)</f>
        <v>Repeatable</v>
      </c>
      <c r="M81" s="7">
        <v>3</v>
      </c>
      <c r="N81" s="7" t="str">
        <f>VLOOKUP(M81,'Maturity Scale'!A:B,2,FALSE)</f>
        <v>Repeatable</v>
      </c>
      <c r="O81" s="15">
        <f t="shared" si="3"/>
        <v>0</v>
      </c>
      <c r="P81" s="18" t="s">
        <v>565</v>
      </c>
      <c r="Q81" s="18"/>
      <c r="U81">
        <f t="shared" si="4"/>
        <v>0</v>
      </c>
      <c r="V81">
        <f t="shared" si="5"/>
        <v>0</v>
      </c>
      <c r="W81" t="str" cm="1">
        <f t="array" ref="W81">_xlfn.IFS(V81&gt;20,"P1: Critical",15&lt;V81&lt;20,"P2: High",V81&lt;10&lt;15,"P3:Medium",V81&lt;10,"P4: Low")</f>
        <v>P4: Low</v>
      </c>
    </row>
    <row r="82" spans="1:23" ht="144" customHeight="1" x14ac:dyDescent="0.35">
      <c r="A82" s="4" t="s">
        <v>335</v>
      </c>
      <c r="B82" s="4" t="s">
        <v>358</v>
      </c>
      <c r="C82" s="4" t="s">
        <v>359</v>
      </c>
      <c r="D82" s="5" t="s">
        <v>360</v>
      </c>
      <c r="E82" s="4" t="s">
        <v>361</v>
      </c>
      <c r="F82" s="11" t="s">
        <v>362</v>
      </c>
      <c r="G82" s="4" t="s">
        <v>341</v>
      </c>
      <c r="H82" s="4"/>
      <c r="I82" s="4"/>
      <c r="J82" s="4"/>
      <c r="K82" s="6">
        <v>3</v>
      </c>
      <c r="L82" s="6" t="str">
        <f>VLOOKUP(K82, 'Maturity Scale'!A:B,2,FALSE)</f>
        <v>Repeatable</v>
      </c>
      <c r="M82" s="7">
        <v>3</v>
      </c>
      <c r="N82" s="7" t="str">
        <f>VLOOKUP(M82,'Maturity Scale'!A:B,2,FALSE)</f>
        <v>Repeatable</v>
      </c>
      <c r="O82" s="15">
        <f t="shared" si="3"/>
        <v>0</v>
      </c>
      <c r="P82" s="18" t="s">
        <v>566</v>
      </c>
      <c r="Q82" s="18"/>
      <c r="U82">
        <f t="shared" si="4"/>
        <v>0</v>
      </c>
      <c r="V82">
        <f t="shared" si="5"/>
        <v>0</v>
      </c>
      <c r="W82" t="str" cm="1">
        <f t="array" ref="W82">_xlfn.IFS(V82&gt;20,"P1: Critical",15&lt;V82&lt;20,"P2: High",V82&lt;10&lt;15,"P3:Medium",V82&lt;10,"P4: Low")</f>
        <v>P4: Low</v>
      </c>
    </row>
    <row r="83" spans="1:23" ht="96" customHeight="1" x14ac:dyDescent="0.35">
      <c r="A83" s="4" t="s">
        <v>335</v>
      </c>
      <c r="B83" s="4" t="s">
        <v>358</v>
      </c>
      <c r="C83" s="4" t="s">
        <v>363</v>
      </c>
      <c r="D83" s="5" t="s">
        <v>364</v>
      </c>
      <c r="E83" s="4" t="s">
        <v>365</v>
      </c>
      <c r="F83" s="11" t="s">
        <v>366</v>
      </c>
      <c r="G83" s="4" t="s">
        <v>341</v>
      </c>
      <c r="H83" s="4"/>
      <c r="I83" s="4"/>
      <c r="J83" s="4"/>
      <c r="K83" s="6">
        <v>2</v>
      </c>
      <c r="L83" s="6" t="str">
        <f>VLOOKUP(K83, 'Maturity Scale'!A:B,2,FALSE)</f>
        <v>Risk Informed</v>
      </c>
      <c r="M83" s="7">
        <v>3</v>
      </c>
      <c r="N83" s="7" t="str">
        <f>VLOOKUP(M83,'Maturity Scale'!A:B,2,FALSE)</f>
        <v>Repeatable</v>
      </c>
      <c r="O83" s="15">
        <f t="shared" si="3"/>
        <v>1</v>
      </c>
      <c r="P83" s="18" t="s">
        <v>567</v>
      </c>
      <c r="Q83" s="18"/>
      <c r="U83">
        <f t="shared" si="4"/>
        <v>0</v>
      </c>
      <c r="V83">
        <f t="shared" si="5"/>
        <v>0</v>
      </c>
      <c r="W83" t="str" cm="1">
        <f t="array" ref="W83">_xlfn.IFS(V83&gt;20,"P1: Critical",15&lt;V83&lt;20,"P2: High",V83&lt;10&lt;15,"P3:Medium",V83&lt;10,"P4: Low")</f>
        <v>P4: Low</v>
      </c>
    </row>
    <row r="84" spans="1:23" ht="48" customHeight="1" x14ac:dyDescent="0.35">
      <c r="A84" s="4" t="s">
        <v>335</v>
      </c>
      <c r="B84" s="4" t="s">
        <v>358</v>
      </c>
      <c r="C84" s="4" t="s">
        <v>367</v>
      </c>
      <c r="D84" s="5" t="s">
        <v>368</v>
      </c>
      <c r="E84" s="4" t="s">
        <v>369</v>
      </c>
      <c r="F84" s="11" t="s">
        <v>370</v>
      </c>
      <c r="G84" s="4" t="s">
        <v>341</v>
      </c>
      <c r="H84" s="4"/>
      <c r="I84" s="4"/>
      <c r="J84" s="4"/>
      <c r="K84" s="6">
        <v>3</v>
      </c>
      <c r="L84" s="6" t="str">
        <f>VLOOKUP(K84, 'Maturity Scale'!A:B,2,FALSE)</f>
        <v>Repeatable</v>
      </c>
      <c r="M84" s="7">
        <v>3</v>
      </c>
      <c r="N84" s="7" t="str">
        <f>VLOOKUP(M84,'Maturity Scale'!A:B,2,FALSE)</f>
        <v>Repeatable</v>
      </c>
      <c r="O84" s="15">
        <f t="shared" si="3"/>
        <v>0</v>
      </c>
      <c r="P84" s="18" t="s">
        <v>568</v>
      </c>
      <c r="Q84" s="18"/>
      <c r="U84">
        <f t="shared" si="4"/>
        <v>0</v>
      </c>
      <c r="V84">
        <f t="shared" si="5"/>
        <v>0</v>
      </c>
      <c r="W84" t="str" cm="1">
        <f t="array" ref="W84">_xlfn.IFS(V84&gt;20,"P1: Critical",15&lt;V84&lt;20,"P2: High",V84&lt;10&lt;15,"P3:Medium",V84&lt;10,"P4: Low")</f>
        <v>P4: Low</v>
      </c>
    </row>
    <row r="85" spans="1:23" ht="144" customHeight="1" x14ac:dyDescent="0.35">
      <c r="A85" s="4" t="s">
        <v>335</v>
      </c>
      <c r="B85" s="4" t="s">
        <v>358</v>
      </c>
      <c r="C85" s="4" t="s">
        <v>371</v>
      </c>
      <c r="D85" s="5" t="s">
        <v>372</v>
      </c>
      <c r="E85" s="4" t="s">
        <v>373</v>
      </c>
      <c r="F85" s="11" t="s">
        <v>374</v>
      </c>
      <c r="G85" s="4" t="s">
        <v>341</v>
      </c>
      <c r="H85" s="4"/>
      <c r="I85" s="4"/>
      <c r="J85" s="4"/>
      <c r="K85" s="6">
        <v>3</v>
      </c>
      <c r="L85" s="6" t="str">
        <f>VLOOKUP(K85, 'Maturity Scale'!A:B,2,FALSE)</f>
        <v>Repeatable</v>
      </c>
      <c r="M85" s="7">
        <v>3</v>
      </c>
      <c r="N85" s="7" t="str">
        <f>VLOOKUP(M85,'Maturity Scale'!A:B,2,FALSE)</f>
        <v>Repeatable</v>
      </c>
      <c r="O85" s="15">
        <f t="shared" si="3"/>
        <v>0</v>
      </c>
      <c r="P85" s="18" t="s">
        <v>569</v>
      </c>
      <c r="Q85" s="18"/>
      <c r="U85">
        <f t="shared" si="4"/>
        <v>0</v>
      </c>
      <c r="V85">
        <f t="shared" si="5"/>
        <v>0</v>
      </c>
      <c r="W85" t="str" cm="1">
        <f t="array" ref="W85">_xlfn.IFS(V85&gt;20,"P1: Critical",15&lt;V85&lt;20,"P2: High",V85&lt;10&lt;15,"P3:Medium",V85&lt;10,"P4: Low")</f>
        <v>P4: Low</v>
      </c>
    </row>
    <row r="86" spans="1:23" ht="112" customHeight="1" x14ac:dyDescent="0.35">
      <c r="A86" s="4" t="s">
        <v>335</v>
      </c>
      <c r="B86" s="4" t="s">
        <v>358</v>
      </c>
      <c r="C86" s="4" t="s">
        <v>375</v>
      </c>
      <c r="D86" s="5" t="s">
        <v>376</v>
      </c>
      <c r="E86" s="4" t="s">
        <v>377</v>
      </c>
      <c r="F86" s="11" t="s">
        <v>378</v>
      </c>
      <c r="G86" s="4" t="s">
        <v>341</v>
      </c>
      <c r="H86" s="4"/>
      <c r="I86" s="4"/>
      <c r="J86" s="4"/>
      <c r="K86" s="6">
        <v>2</v>
      </c>
      <c r="L86" s="6" t="str">
        <f>VLOOKUP(K86, 'Maturity Scale'!A:B,2,FALSE)</f>
        <v>Risk Informed</v>
      </c>
      <c r="M86" s="7">
        <v>3</v>
      </c>
      <c r="N86" s="7" t="str">
        <f>VLOOKUP(M86,'Maturity Scale'!A:B,2,FALSE)</f>
        <v>Repeatable</v>
      </c>
      <c r="O86" s="15">
        <f t="shared" si="3"/>
        <v>1</v>
      </c>
      <c r="P86" s="18" t="s">
        <v>570</v>
      </c>
      <c r="Q86" s="18"/>
      <c r="U86">
        <f t="shared" si="4"/>
        <v>0</v>
      </c>
      <c r="V86">
        <f t="shared" si="5"/>
        <v>0</v>
      </c>
      <c r="W86" t="str" cm="1">
        <f t="array" ref="W86">_xlfn.IFS(V86&gt;20,"P1: Critical",15&lt;V86&lt;20,"P2: High",V86&lt;10&lt;15,"P3:Medium",V86&lt;10,"P4: Low")</f>
        <v>P4: Low</v>
      </c>
    </row>
    <row r="87" spans="1:23" ht="64" customHeight="1" x14ac:dyDescent="0.35">
      <c r="A87" s="4" t="s">
        <v>335</v>
      </c>
      <c r="B87" s="4" t="s">
        <v>358</v>
      </c>
      <c r="C87" s="4" t="s">
        <v>379</v>
      </c>
      <c r="D87" s="5" t="s">
        <v>380</v>
      </c>
      <c r="E87" s="4" t="s">
        <v>381</v>
      </c>
      <c r="F87" s="11" t="s">
        <v>382</v>
      </c>
      <c r="G87" s="4" t="s">
        <v>341</v>
      </c>
      <c r="H87" s="4"/>
      <c r="I87" s="4"/>
      <c r="J87" s="4"/>
      <c r="K87" s="6">
        <v>3</v>
      </c>
      <c r="L87" s="6" t="str">
        <f>VLOOKUP(K87, 'Maturity Scale'!A:B,2,FALSE)</f>
        <v>Repeatable</v>
      </c>
      <c r="M87" s="7">
        <v>3</v>
      </c>
      <c r="N87" s="7" t="str">
        <f>VLOOKUP(M87,'Maturity Scale'!A:B,2,FALSE)</f>
        <v>Repeatable</v>
      </c>
      <c r="O87" s="15">
        <f t="shared" si="3"/>
        <v>0</v>
      </c>
      <c r="P87" s="18" t="s">
        <v>571</v>
      </c>
      <c r="Q87" s="18"/>
      <c r="U87">
        <f t="shared" si="4"/>
        <v>0</v>
      </c>
      <c r="V87">
        <f t="shared" si="5"/>
        <v>0</v>
      </c>
      <c r="W87" t="str" cm="1">
        <f t="array" ref="W87">_xlfn.IFS(V87&gt;20,"P1: Critical",15&lt;V87&lt;20,"P2: High",V87&lt;10&lt;15,"P3:Medium",V87&lt;10,"P4: Low")</f>
        <v>P4: Low</v>
      </c>
    </row>
    <row r="88" spans="1:23" ht="112" customHeight="1" x14ac:dyDescent="0.35">
      <c r="A88" s="4" t="s">
        <v>383</v>
      </c>
      <c r="B88" s="4" t="s">
        <v>384</v>
      </c>
      <c r="C88" s="4" t="s">
        <v>385</v>
      </c>
      <c r="D88" s="5" t="s">
        <v>386</v>
      </c>
      <c r="E88" s="4" t="s">
        <v>387</v>
      </c>
      <c r="F88" s="11" t="s">
        <v>388</v>
      </c>
      <c r="G88" s="4" t="s">
        <v>142</v>
      </c>
      <c r="H88" s="4"/>
      <c r="I88" s="4"/>
      <c r="J88" s="4"/>
      <c r="K88" s="6">
        <v>2</v>
      </c>
      <c r="L88" s="6" t="str">
        <f>VLOOKUP(K88, 'Maturity Scale'!A:B,2,FALSE)</f>
        <v>Risk Informed</v>
      </c>
      <c r="M88" s="7">
        <v>3</v>
      </c>
      <c r="N88" s="7" t="str">
        <f>VLOOKUP(M88,'Maturity Scale'!A:B,2,FALSE)</f>
        <v>Repeatable</v>
      </c>
      <c r="O88" s="15">
        <f t="shared" si="3"/>
        <v>1</v>
      </c>
      <c r="P88" s="18" t="s">
        <v>572</v>
      </c>
      <c r="Q88" s="18"/>
      <c r="U88">
        <f t="shared" si="4"/>
        <v>0</v>
      </c>
      <c r="V88">
        <f t="shared" si="5"/>
        <v>0</v>
      </c>
      <c r="W88" t="str" cm="1">
        <f t="array" ref="W88">_xlfn.IFS(V88&gt;20,"P1: Critical",15&lt;V88&lt;20,"P2: High",V88&lt;10&lt;15,"P3:Medium",V88&lt;10,"P4: Low")</f>
        <v>P4: Low</v>
      </c>
    </row>
    <row r="89" spans="1:23" ht="48" customHeight="1" x14ac:dyDescent="0.35">
      <c r="A89" s="4" t="s">
        <v>383</v>
      </c>
      <c r="B89" s="4" t="s">
        <v>384</v>
      </c>
      <c r="C89" s="4" t="s">
        <v>389</v>
      </c>
      <c r="D89" s="5" t="s">
        <v>390</v>
      </c>
      <c r="E89" s="4" t="s">
        <v>391</v>
      </c>
      <c r="F89" s="11" t="s">
        <v>392</v>
      </c>
      <c r="G89" s="4" t="s">
        <v>142</v>
      </c>
      <c r="H89" s="4"/>
      <c r="I89" s="4"/>
      <c r="J89" s="4"/>
      <c r="K89" s="6">
        <v>3</v>
      </c>
      <c r="L89" s="6" t="str">
        <f>VLOOKUP(K89, 'Maturity Scale'!A:B,2,FALSE)</f>
        <v>Repeatable</v>
      </c>
      <c r="M89" s="7">
        <v>3</v>
      </c>
      <c r="N89" s="7" t="str">
        <f>VLOOKUP(M89,'Maturity Scale'!A:B,2,FALSE)</f>
        <v>Repeatable</v>
      </c>
      <c r="O89" s="15">
        <f t="shared" si="3"/>
        <v>0</v>
      </c>
      <c r="P89" s="18" t="s">
        <v>573</v>
      </c>
      <c r="Q89" s="18"/>
      <c r="U89">
        <f t="shared" si="4"/>
        <v>0</v>
      </c>
      <c r="V89">
        <f t="shared" si="5"/>
        <v>0</v>
      </c>
      <c r="W89" t="str" cm="1">
        <f t="array" ref="W89">_xlfn.IFS(V89&gt;20,"P1: Critical",15&lt;V89&lt;20,"P2: High",V89&lt;10&lt;15,"P3:Medium",V89&lt;10,"P4: Low")</f>
        <v>P4: Low</v>
      </c>
    </row>
    <row r="90" spans="1:23" ht="112" customHeight="1" x14ac:dyDescent="0.35">
      <c r="A90" s="4" t="s">
        <v>383</v>
      </c>
      <c r="B90" s="4" t="s">
        <v>384</v>
      </c>
      <c r="C90" s="4" t="s">
        <v>393</v>
      </c>
      <c r="D90" s="5" t="s">
        <v>394</v>
      </c>
      <c r="E90" s="4" t="s">
        <v>395</v>
      </c>
      <c r="F90" s="11" t="s">
        <v>396</v>
      </c>
      <c r="G90" s="4" t="s">
        <v>142</v>
      </c>
      <c r="H90" s="4"/>
      <c r="I90" s="4"/>
      <c r="J90" s="4"/>
      <c r="K90" s="6">
        <v>3</v>
      </c>
      <c r="L90" s="6" t="str">
        <f>VLOOKUP(K90, 'Maturity Scale'!A:B,2,FALSE)</f>
        <v>Repeatable</v>
      </c>
      <c r="M90" s="7">
        <v>3</v>
      </c>
      <c r="N90" s="7" t="str">
        <f>VLOOKUP(M90,'Maturity Scale'!A:B,2,FALSE)</f>
        <v>Repeatable</v>
      </c>
      <c r="O90" s="15">
        <f t="shared" si="3"/>
        <v>0</v>
      </c>
      <c r="P90" s="18" t="s">
        <v>573</v>
      </c>
      <c r="Q90" s="18"/>
      <c r="U90">
        <f t="shared" si="4"/>
        <v>0</v>
      </c>
      <c r="V90">
        <f t="shared" si="5"/>
        <v>0</v>
      </c>
      <c r="W90" t="str" cm="1">
        <f t="array" ref="W90">_xlfn.IFS(V90&gt;20,"P1: Critical",15&lt;V90&lt;20,"P2: High",V90&lt;10&lt;15,"P3:Medium",V90&lt;10,"P4: Low")</f>
        <v>P4: Low</v>
      </c>
    </row>
    <row r="91" spans="1:23" ht="48" customHeight="1" x14ac:dyDescent="0.35">
      <c r="A91" s="4" t="s">
        <v>383</v>
      </c>
      <c r="B91" s="4" t="s">
        <v>384</v>
      </c>
      <c r="C91" s="4" t="s">
        <v>397</v>
      </c>
      <c r="D91" s="5" t="s">
        <v>398</v>
      </c>
      <c r="E91" s="4" t="s">
        <v>399</v>
      </c>
      <c r="F91" s="11" t="s">
        <v>400</v>
      </c>
      <c r="G91" s="4" t="s">
        <v>142</v>
      </c>
      <c r="H91" s="4"/>
      <c r="I91" s="4"/>
      <c r="J91" s="4"/>
      <c r="K91" s="6">
        <v>3</v>
      </c>
      <c r="L91" s="6" t="str">
        <f>VLOOKUP(K91, 'Maturity Scale'!A:B,2,FALSE)</f>
        <v>Repeatable</v>
      </c>
      <c r="M91" s="7">
        <v>3</v>
      </c>
      <c r="N91" s="7" t="str">
        <f>VLOOKUP(M91,'Maturity Scale'!A:B,2,FALSE)</f>
        <v>Repeatable</v>
      </c>
      <c r="O91" s="15">
        <f t="shared" si="3"/>
        <v>0</v>
      </c>
      <c r="P91" s="18" t="s">
        <v>574</v>
      </c>
      <c r="Q91" s="18"/>
      <c r="U91">
        <f t="shared" si="4"/>
        <v>0</v>
      </c>
      <c r="V91">
        <f t="shared" si="5"/>
        <v>0</v>
      </c>
      <c r="W91" t="str" cm="1">
        <f t="array" ref="W91">_xlfn.IFS(V91&gt;20,"P1: Critical",15&lt;V91&lt;20,"P2: High",V91&lt;10&lt;15,"P3:Medium",V91&lt;10,"P4: Low")</f>
        <v>P4: Low</v>
      </c>
    </row>
    <row r="92" spans="1:23" ht="80" customHeight="1" x14ac:dyDescent="0.35">
      <c r="A92" s="4" t="s">
        <v>383</v>
      </c>
      <c r="B92" s="4" t="s">
        <v>384</v>
      </c>
      <c r="C92" s="4" t="s">
        <v>401</v>
      </c>
      <c r="D92" s="5" t="s">
        <v>402</v>
      </c>
      <c r="E92" s="4" t="s">
        <v>403</v>
      </c>
      <c r="F92" s="11" t="s">
        <v>404</v>
      </c>
      <c r="G92" s="4" t="s">
        <v>142</v>
      </c>
      <c r="H92" s="4"/>
      <c r="I92" s="4"/>
      <c r="J92" s="4"/>
      <c r="K92" s="6">
        <v>2</v>
      </c>
      <c r="L92" s="6" t="str">
        <f>VLOOKUP(K92, 'Maturity Scale'!A:B,2,FALSE)</f>
        <v>Risk Informed</v>
      </c>
      <c r="M92" s="7">
        <v>3</v>
      </c>
      <c r="N92" s="7" t="str">
        <f>VLOOKUP(M92,'Maturity Scale'!A:B,2,FALSE)</f>
        <v>Repeatable</v>
      </c>
      <c r="O92" s="15">
        <f t="shared" si="3"/>
        <v>1</v>
      </c>
      <c r="P92" s="18" t="s">
        <v>575</v>
      </c>
      <c r="Q92" s="18"/>
      <c r="U92">
        <f t="shared" si="4"/>
        <v>0</v>
      </c>
      <c r="V92">
        <f t="shared" si="5"/>
        <v>0</v>
      </c>
      <c r="W92" t="str" cm="1">
        <f t="array" ref="W92">_xlfn.IFS(V92&gt;20,"P1: Critical",15&lt;V92&lt;20,"P2: High",V92&lt;10&lt;15,"P3:Medium",V92&lt;10,"P4: Low")</f>
        <v>P4: Low</v>
      </c>
    </row>
    <row r="93" spans="1:23" ht="112" customHeight="1" x14ac:dyDescent="0.35">
      <c r="A93" s="4" t="s">
        <v>383</v>
      </c>
      <c r="B93" s="4" t="s">
        <v>405</v>
      </c>
      <c r="C93" s="4" t="s">
        <v>406</v>
      </c>
      <c r="D93" s="5" t="s">
        <v>407</v>
      </c>
      <c r="E93" s="4" t="s">
        <v>408</v>
      </c>
      <c r="F93" s="11" t="s">
        <v>409</v>
      </c>
      <c r="G93" s="4" t="s">
        <v>142</v>
      </c>
      <c r="H93" s="4"/>
      <c r="I93" s="4"/>
      <c r="J93" s="4"/>
      <c r="K93" s="6">
        <v>1</v>
      </c>
      <c r="L93" s="6" t="str">
        <f>VLOOKUP(K93, 'Maturity Scale'!A:B,2,FALSE)</f>
        <v>Partial</v>
      </c>
      <c r="M93" s="7">
        <v>3</v>
      </c>
      <c r="N93" s="7" t="str">
        <f>VLOOKUP(M93,'Maturity Scale'!A:B,2,FALSE)</f>
        <v>Repeatable</v>
      </c>
      <c r="O93" s="15">
        <f t="shared" si="3"/>
        <v>2</v>
      </c>
      <c r="P93" s="18" t="s">
        <v>576</v>
      </c>
      <c r="Q93" s="18"/>
      <c r="U93">
        <f t="shared" si="4"/>
        <v>0</v>
      </c>
      <c r="V93">
        <f t="shared" si="5"/>
        <v>0</v>
      </c>
      <c r="W93" t="str" cm="1">
        <f t="array" ref="W93">_xlfn.IFS(V93&gt;20,"P1: Critical",15&lt;V93&lt;20,"P2: High",V93&lt;10&lt;15,"P3:Medium",V93&lt;10,"P4: Low")</f>
        <v>P4: Low</v>
      </c>
    </row>
    <row r="94" spans="1:23" ht="96" customHeight="1" x14ac:dyDescent="0.35">
      <c r="A94" s="4" t="s">
        <v>383</v>
      </c>
      <c r="B94" s="4" t="s">
        <v>405</v>
      </c>
      <c r="C94" s="4" t="s">
        <v>410</v>
      </c>
      <c r="D94" s="5" t="s">
        <v>411</v>
      </c>
      <c r="E94" s="4" t="s">
        <v>412</v>
      </c>
      <c r="F94" s="11" t="s">
        <v>413</v>
      </c>
      <c r="G94" s="4" t="s">
        <v>142</v>
      </c>
      <c r="H94" s="4"/>
      <c r="I94" s="4"/>
      <c r="J94" s="4"/>
      <c r="K94" s="6">
        <v>1</v>
      </c>
      <c r="L94" s="6" t="str">
        <f>VLOOKUP(K94, 'Maturity Scale'!A:B,2,FALSE)</f>
        <v>Partial</v>
      </c>
      <c r="M94" s="7">
        <v>3</v>
      </c>
      <c r="N94" s="7" t="str">
        <f>VLOOKUP(M94,'Maturity Scale'!A:B,2,FALSE)</f>
        <v>Repeatable</v>
      </c>
      <c r="O94" s="15">
        <f t="shared" si="3"/>
        <v>2</v>
      </c>
      <c r="P94" s="18" t="s">
        <v>561</v>
      </c>
      <c r="Q94" s="18"/>
      <c r="U94">
        <f t="shared" si="4"/>
        <v>0</v>
      </c>
      <c r="V94">
        <f t="shared" si="5"/>
        <v>0</v>
      </c>
      <c r="W94" t="str" cm="1">
        <f t="array" ref="W94">_xlfn.IFS(V94&gt;20,"P1: Critical",15&lt;V94&lt;20,"P2: High",V94&lt;10&lt;15,"P3:Medium",V94&lt;10,"P4: Low")</f>
        <v>P4: Low</v>
      </c>
    </row>
    <row r="95" spans="1:23" ht="48" customHeight="1" x14ac:dyDescent="0.35">
      <c r="A95" s="4" t="s">
        <v>383</v>
      </c>
      <c r="B95" s="4" t="s">
        <v>405</v>
      </c>
      <c r="C95" s="4" t="s">
        <v>414</v>
      </c>
      <c r="D95" s="5" t="s">
        <v>415</v>
      </c>
      <c r="E95" s="4" t="s">
        <v>416</v>
      </c>
      <c r="F95" s="11" t="s">
        <v>417</v>
      </c>
      <c r="G95" s="4" t="s">
        <v>142</v>
      </c>
      <c r="H95" s="4"/>
      <c r="I95" s="4"/>
      <c r="J95" s="4"/>
      <c r="K95" s="6">
        <v>1</v>
      </c>
      <c r="L95" s="6" t="str">
        <f>VLOOKUP(K95, 'Maturity Scale'!A:B,2,FALSE)</f>
        <v>Partial</v>
      </c>
      <c r="M95" s="7">
        <v>3</v>
      </c>
      <c r="N95" s="7" t="str">
        <f>VLOOKUP(M95,'Maturity Scale'!A:B,2,FALSE)</f>
        <v>Repeatable</v>
      </c>
      <c r="O95" s="15">
        <f t="shared" si="3"/>
        <v>2</v>
      </c>
      <c r="P95" s="18" t="s">
        <v>561</v>
      </c>
      <c r="Q95" s="18"/>
      <c r="U95">
        <f t="shared" si="4"/>
        <v>0</v>
      </c>
      <c r="V95">
        <f t="shared" si="5"/>
        <v>0</v>
      </c>
      <c r="W95" t="str" cm="1">
        <f t="array" ref="W95">_xlfn.IFS(V95&gt;20,"P1: Critical",15&lt;V95&lt;20,"P2: High",V95&lt;10&lt;15,"P3:Medium",V95&lt;10,"P4: Low")</f>
        <v>P4: Low</v>
      </c>
    </row>
    <row r="96" spans="1:23" ht="64" customHeight="1" x14ac:dyDescent="0.35">
      <c r="A96" s="4" t="s">
        <v>383</v>
      </c>
      <c r="B96" s="4" t="s">
        <v>405</v>
      </c>
      <c r="C96" s="4" t="s">
        <v>418</v>
      </c>
      <c r="D96" s="5" t="s">
        <v>419</v>
      </c>
      <c r="E96" s="4" t="s">
        <v>420</v>
      </c>
      <c r="F96" s="11" t="s">
        <v>421</v>
      </c>
      <c r="G96" s="4" t="s">
        <v>142</v>
      </c>
      <c r="H96" s="4"/>
      <c r="I96" s="4"/>
      <c r="J96" s="4"/>
      <c r="K96" s="6">
        <v>3</v>
      </c>
      <c r="L96" s="6" t="str">
        <f>VLOOKUP(K96, 'Maturity Scale'!A:B,2,FALSE)</f>
        <v>Repeatable</v>
      </c>
      <c r="M96" s="7">
        <v>3</v>
      </c>
      <c r="N96" s="7" t="str">
        <f>VLOOKUP(M96,'Maturity Scale'!A:B,2,FALSE)</f>
        <v>Repeatable</v>
      </c>
      <c r="O96" s="15">
        <f t="shared" si="3"/>
        <v>0</v>
      </c>
      <c r="P96" s="18" t="s">
        <v>577</v>
      </c>
      <c r="Q96" s="18"/>
      <c r="U96">
        <f t="shared" si="4"/>
        <v>0</v>
      </c>
      <c r="V96">
        <f t="shared" si="5"/>
        <v>0</v>
      </c>
      <c r="W96" t="str" cm="1">
        <f t="array" ref="W96">_xlfn.IFS(V96&gt;20,"P1: Critical",15&lt;V96&lt;20,"P2: High",V96&lt;10&lt;15,"P3:Medium",V96&lt;10,"P4: Low")</f>
        <v>P4: Low</v>
      </c>
    </row>
    <row r="97" spans="1:23" ht="128" customHeight="1" x14ac:dyDescent="0.35">
      <c r="A97" s="4" t="s">
        <v>383</v>
      </c>
      <c r="B97" s="4" t="s">
        <v>422</v>
      </c>
      <c r="C97" s="4" t="s">
        <v>423</v>
      </c>
      <c r="D97" s="5" t="s">
        <v>424</v>
      </c>
      <c r="E97" s="4" t="s">
        <v>425</v>
      </c>
      <c r="F97" s="11" t="s">
        <v>426</v>
      </c>
      <c r="G97" s="4" t="s">
        <v>142</v>
      </c>
      <c r="H97" s="4"/>
      <c r="I97" s="4"/>
      <c r="J97" s="4"/>
      <c r="K97" s="6">
        <v>3</v>
      </c>
      <c r="L97" s="6" t="str">
        <f>VLOOKUP(K97, 'Maturity Scale'!A:B,2,FALSE)</f>
        <v>Repeatable</v>
      </c>
      <c r="M97" s="7">
        <v>3</v>
      </c>
      <c r="N97" s="7" t="str">
        <f>VLOOKUP(M97,'Maturity Scale'!A:B,2,FALSE)</f>
        <v>Repeatable</v>
      </c>
      <c r="O97" s="15">
        <f t="shared" si="3"/>
        <v>0</v>
      </c>
      <c r="P97" s="18"/>
      <c r="Q97" s="18"/>
      <c r="U97">
        <f t="shared" si="4"/>
        <v>0</v>
      </c>
      <c r="V97">
        <f t="shared" si="5"/>
        <v>0</v>
      </c>
      <c r="W97" t="str" cm="1">
        <f t="array" ref="W97">_xlfn.IFS(V97&gt;20,"P1: Critical",15&lt;V97&lt;20,"P2: High",V97&lt;10&lt;15,"P3:Medium",V97&lt;10,"P4: Low")</f>
        <v>P4: Low</v>
      </c>
    </row>
    <row r="98" spans="1:23" ht="192" customHeight="1" x14ac:dyDescent="0.35">
      <c r="A98" s="4" t="s">
        <v>383</v>
      </c>
      <c r="B98" s="4" t="s">
        <v>422</v>
      </c>
      <c r="C98" s="4" t="s">
        <v>427</v>
      </c>
      <c r="D98" s="5" t="s">
        <v>428</v>
      </c>
      <c r="E98" s="4" t="s">
        <v>429</v>
      </c>
      <c r="F98" s="11" t="s">
        <v>430</v>
      </c>
      <c r="G98" s="4" t="s">
        <v>142</v>
      </c>
      <c r="H98" s="4"/>
      <c r="I98" s="4"/>
      <c r="J98" s="4"/>
      <c r="K98" s="6">
        <v>3</v>
      </c>
      <c r="L98" s="6" t="str">
        <f>VLOOKUP(K98, 'Maturity Scale'!A:B,2,FALSE)</f>
        <v>Repeatable</v>
      </c>
      <c r="M98" s="7">
        <v>3</v>
      </c>
      <c r="N98" s="7" t="str">
        <f>VLOOKUP(M98,'Maturity Scale'!A:B,2,FALSE)</f>
        <v>Repeatable</v>
      </c>
      <c r="O98" s="15">
        <f t="shared" si="3"/>
        <v>0</v>
      </c>
      <c r="P98" s="18"/>
      <c r="Q98" s="18"/>
      <c r="U98">
        <f t="shared" si="4"/>
        <v>0</v>
      </c>
      <c r="V98">
        <f t="shared" si="5"/>
        <v>0</v>
      </c>
      <c r="W98" t="str" cm="1">
        <f t="array" ref="W98">_xlfn.IFS(V98&gt;20,"P1: Critical",15&lt;V98&lt;20,"P2: High",V98&lt;10&lt;15,"P3:Medium",V98&lt;10,"P4: Low")</f>
        <v>P4: Low</v>
      </c>
    </row>
    <row r="99" spans="1:23" ht="176" customHeight="1" x14ac:dyDescent="0.35">
      <c r="A99" s="4" t="s">
        <v>383</v>
      </c>
      <c r="B99" s="4" t="s">
        <v>431</v>
      </c>
      <c r="C99" s="4" t="s">
        <v>432</v>
      </c>
      <c r="D99" s="5" t="s">
        <v>433</v>
      </c>
      <c r="E99" s="4" t="s">
        <v>434</v>
      </c>
      <c r="F99" s="11" t="s">
        <v>435</v>
      </c>
      <c r="G99" s="4" t="s">
        <v>142</v>
      </c>
      <c r="H99" s="4"/>
      <c r="I99" s="4"/>
      <c r="J99" s="4"/>
      <c r="K99" s="6">
        <v>1</v>
      </c>
      <c r="L99" s="6" t="str">
        <f>VLOOKUP(K99, 'Maturity Scale'!A:B,2,FALSE)</f>
        <v>Partial</v>
      </c>
      <c r="M99" s="7">
        <v>3</v>
      </c>
      <c r="N99" s="7" t="str">
        <f>VLOOKUP(M99,'Maturity Scale'!A:B,2,FALSE)</f>
        <v>Repeatable</v>
      </c>
      <c r="O99" s="15">
        <f t="shared" si="3"/>
        <v>2</v>
      </c>
      <c r="P99" s="18" t="s">
        <v>561</v>
      </c>
      <c r="Q99" s="18"/>
      <c r="U99">
        <f t="shared" si="4"/>
        <v>0</v>
      </c>
      <c r="V99">
        <f t="shared" si="5"/>
        <v>0</v>
      </c>
      <c r="W99" t="str" cm="1">
        <f t="array" ref="W99">_xlfn.IFS(V99&gt;20,"P1: Critical",15&lt;V99&lt;20,"P2: High",V99&lt;10&lt;15,"P3:Medium",V99&lt;10,"P4: Low")</f>
        <v>P4: Low</v>
      </c>
    </row>
    <row r="100" spans="1:23" ht="112" customHeight="1" x14ac:dyDescent="0.35">
      <c r="A100" s="4" t="s">
        <v>383</v>
      </c>
      <c r="B100" s="4" t="s">
        <v>431</v>
      </c>
      <c r="C100" s="4" t="s">
        <v>436</v>
      </c>
      <c r="D100" s="5" t="s">
        <v>437</v>
      </c>
      <c r="E100" s="4" t="s">
        <v>438</v>
      </c>
      <c r="F100" s="11" t="s">
        <v>439</v>
      </c>
      <c r="G100" s="4" t="s">
        <v>142</v>
      </c>
      <c r="H100" s="4"/>
      <c r="I100" s="4"/>
      <c r="J100" s="4"/>
      <c r="K100" s="6">
        <v>2</v>
      </c>
      <c r="L100" s="6" t="str">
        <f>VLOOKUP(K100, 'Maturity Scale'!A:B,2,FALSE)</f>
        <v>Risk Informed</v>
      </c>
      <c r="M100" s="7">
        <v>3</v>
      </c>
      <c r="N100" s="7" t="str">
        <f>VLOOKUP(M100,'Maturity Scale'!A:B,2,FALSE)</f>
        <v>Repeatable</v>
      </c>
      <c r="O100" s="15">
        <f t="shared" si="3"/>
        <v>1</v>
      </c>
      <c r="P100" s="18" t="s">
        <v>578</v>
      </c>
      <c r="Q100" s="18"/>
      <c r="U100">
        <f t="shared" si="4"/>
        <v>0</v>
      </c>
      <c r="V100">
        <f t="shared" si="5"/>
        <v>0</v>
      </c>
      <c r="W100" t="str" cm="1">
        <f t="array" ref="W100">_xlfn.IFS(V100&gt;20,"P1: Critical",15&lt;V100&lt;20,"P2: High",V100&lt;10&lt;15,"P3:Medium",V100&lt;10,"P4: Low")</f>
        <v>P4: Low</v>
      </c>
    </row>
    <row r="101" spans="1:23" ht="80" customHeight="1" x14ac:dyDescent="0.35">
      <c r="A101" s="4" t="s">
        <v>440</v>
      </c>
      <c r="B101" s="4" t="s">
        <v>441</v>
      </c>
      <c r="C101" s="4" t="s">
        <v>442</v>
      </c>
      <c r="D101" s="5" t="s">
        <v>443</v>
      </c>
      <c r="E101" s="4" t="s">
        <v>444</v>
      </c>
      <c r="F101" s="11" t="s">
        <v>445</v>
      </c>
      <c r="G101" s="4" t="s">
        <v>34</v>
      </c>
      <c r="H101" s="4"/>
      <c r="I101" s="4"/>
      <c r="J101" s="4"/>
      <c r="K101" s="6">
        <v>3</v>
      </c>
      <c r="L101" s="6" t="str">
        <f>VLOOKUP(K101, 'Maturity Scale'!A:B,2,FALSE)</f>
        <v>Repeatable</v>
      </c>
      <c r="M101" s="7">
        <v>3</v>
      </c>
      <c r="N101" s="7" t="str">
        <f>VLOOKUP(M101,'Maturity Scale'!A:B,2,FALSE)</f>
        <v>Repeatable</v>
      </c>
      <c r="O101" s="15">
        <f t="shared" si="3"/>
        <v>0</v>
      </c>
      <c r="P101" s="18"/>
      <c r="Q101" s="18"/>
      <c r="U101">
        <f t="shared" si="4"/>
        <v>0</v>
      </c>
      <c r="V101">
        <f t="shared" si="5"/>
        <v>0</v>
      </c>
      <c r="W101" t="str" cm="1">
        <f t="array" ref="W101">_xlfn.IFS(V101&gt;20,"P1: Critical",15&lt;V101&lt;20,"P2: High",V101&lt;10&lt;15,"P3:Medium",V101&lt;10,"P4: Low")</f>
        <v>P4: Low</v>
      </c>
    </row>
    <row r="102" spans="1:23" ht="64" customHeight="1" x14ac:dyDescent="0.35">
      <c r="A102" s="4" t="s">
        <v>440</v>
      </c>
      <c r="B102" s="4" t="s">
        <v>441</v>
      </c>
      <c r="C102" s="4" t="s">
        <v>446</v>
      </c>
      <c r="D102" s="5" t="s">
        <v>447</v>
      </c>
      <c r="E102" s="4" t="s">
        <v>448</v>
      </c>
      <c r="F102" s="11" t="s">
        <v>449</v>
      </c>
      <c r="G102" s="4" t="s">
        <v>34</v>
      </c>
      <c r="H102" s="4"/>
      <c r="I102" s="4"/>
      <c r="J102" s="4"/>
      <c r="K102" s="6">
        <v>3</v>
      </c>
      <c r="L102" s="6" t="str">
        <f>VLOOKUP(K102, 'Maturity Scale'!A:B,2,FALSE)</f>
        <v>Repeatable</v>
      </c>
      <c r="M102" s="7">
        <v>3</v>
      </c>
      <c r="N102" s="7" t="str">
        <f>VLOOKUP(M102,'Maturity Scale'!A:B,2,FALSE)</f>
        <v>Repeatable</v>
      </c>
      <c r="O102" s="15">
        <f t="shared" si="3"/>
        <v>0</v>
      </c>
      <c r="P102" s="18" t="s">
        <v>579</v>
      </c>
      <c r="Q102" s="18"/>
      <c r="U102">
        <f t="shared" si="4"/>
        <v>0</v>
      </c>
      <c r="V102">
        <f t="shared" si="5"/>
        <v>0</v>
      </c>
      <c r="W102" t="str" cm="1">
        <f t="array" ref="W102">_xlfn.IFS(V102&gt;20,"P1: Critical",15&lt;V102&lt;20,"P2: High",V102&lt;10&lt;15,"P3:Medium",V102&lt;10,"P4: Low")</f>
        <v>P4: Low</v>
      </c>
    </row>
    <row r="103" spans="1:23" ht="48" customHeight="1" x14ac:dyDescent="0.35">
      <c r="A103" s="4" t="s">
        <v>440</v>
      </c>
      <c r="B103" s="4" t="s">
        <v>441</v>
      </c>
      <c r="C103" s="4" t="s">
        <v>450</v>
      </c>
      <c r="D103" s="5" t="s">
        <v>451</v>
      </c>
      <c r="E103" s="4" t="s">
        <v>452</v>
      </c>
      <c r="F103" s="11" t="s">
        <v>453</v>
      </c>
      <c r="G103" s="4" t="s">
        <v>34</v>
      </c>
      <c r="H103" s="4"/>
      <c r="I103" s="4"/>
      <c r="J103" s="4"/>
      <c r="K103" s="6">
        <v>3</v>
      </c>
      <c r="L103" s="6" t="str">
        <f>VLOOKUP(K103, 'Maturity Scale'!A:B,2,FALSE)</f>
        <v>Repeatable</v>
      </c>
      <c r="M103" s="7">
        <v>3</v>
      </c>
      <c r="N103" s="7" t="str">
        <f>VLOOKUP(M103,'Maturity Scale'!A:B,2,FALSE)</f>
        <v>Repeatable</v>
      </c>
      <c r="O103" s="15">
        <f t="shared" si="3"/>
        <v>0</v>
      </c>
      <c r="P103" s="18"/>
      <c r="Q103" s="18"/>
      <c r="U103">
        <f t="shared" si="4"/>
        <v>0</v>
      </c>
      <c r="V103">
        <f t="shared" si="5"/>
        <v>0</v>
      </c>
      <c r="W103" t="str" cm="1">
        <f t="array" ref="W103">_xlfn.IFS(V103&gt;20,"P1: Critical",15&lt;V103&lt;20,"P2: High",V103&lt;10&lt;15,"P3:Medium",V103&lt;10,"P4: Low")</f>
        <v>P4: Low</v>
      </c>
    </row>
    <row r="104" spans="1:23" ht="144" customHeight="1" x14ac:dyDescent="0.35">
      <c r="A104" s="4" t="s">
        <v>440</v>
      </c>
      <c r="B104" s="4" t="s">
        <v>441</v>
      </c>
      <c r="C104" s="4" t="s">
        <v>454</v>
      </c>
      <c r="D104" s="5" t="s">
        <v>455</v>
      </c>
      <c r="E104" s="4" t="s">
        <v>456</v>
      </c>
      <c r="F104" s="11" t="s">
        <v>457</v>
      </c>
      <c r="G104" s="4" t="s">
        <v>34</v>
      </c>
      <c r="H104" s="4"/>
      <c r="I104" s="4"/>
      <c r="J104" s="4"/>
      <c r="K104" s="6">
        <v>2</v>
      </c>
      <c r="L104" s="6" t="str">
        <f>VLOOKUP(K104, 'Maturity Scale'!A:B,2,FALSE)</f>
        <v>Risk Informed</v>
      </c>
      <c r="M104" s="7">
        <v>3</v>
      </c>
      <c r="N104" s="7" t="str">
        <f>VLOOKUP(M104,'Maturity Scale'!A:B,2,FALSE)</f>
        <v>Repeatable</v>
      </c>
      <c r="O104" s="15">
        <f t="shared" si="3"/>
        <v>1</v>
      </c>
      <c r="P104" s="18"/>
      <c r="Q104" s="18"/>
      <c r="U104">
        <f t="shared" si="4"/>
        <v>0</v>
      </c>
      <c r="V104">
        <f t="shared" si="5"/>
        <v>0</v>
      </c>
      <c r="W104" t="str" cm="1">
        <f t="array" ref="W104">_xlfn.IFS(V104&gt;20,"P1: Critical",15&lt;V104&lt;20,"P2: High",V104&lt;10&lt;15,"P3:Medium",V104&lt;10,"P4: Low")</f>
        <v>P4: Low</v>
      </c>
    </row>
    <row r="105" spans="1:23" ht="64" customHeight="1" x14ac:dyDescent="0.35">
      <c r="A105" s="4" t="s">
        <v>440</v>
      </c>
      <c r="B105" s="4" t="s">
        <v>441</v>
      </c>
      <c r="C105" s="4" t="s">
        <v>458</v>
      </c>
      <c r="D105" s="5" t="s">
        <v>459</v>
      </c>
      <c r="E105" s="4" t="s">
        <v>460</v>
      </c>
      <c r="F105" s="11" t="s">
        <v>461</v>
      </c>
      <c r="G105" s="4" t="s">
        <v>34</v>
      </c>
      <c r="H105" s="4"/>
      <c r="I105" s="4"/>
      <c r="J105" s="4"/>
      <c r="K105" s="6">
        <v>2</v>
      </c>
      <c r="L105" s="6" t="str">
        <f>VLOOKUP(K105, 'Maturity Scale'!A:B,2,FALSE)</f>
        <v>Risk Informed</v>
      </c>
      <c r="M105" s="7">
        <v>3</v>
      </c>
      <c r="N105" s="7" t="str">
        <f>VLOOKUP(M105,'Maturity Scale'!A:B,2,FALSE)</f>
        <v>Repeatable</v>
      </c>
      <c r="O105" s="15">
        <f t="shared" si="3"/>
        <v>1</v>
      </c>
      <c r="P105" s="18"/>
      <c r="Q105" s="18"/>
      <c r="U105">
        <f t="shared" si="4"/>
        <v>0</v>
      </c>
      <c r="V105">
        <f t="shared" si="5"/>
        <v>0</v>
      </c>
      <c r="W105" t="str" cm="1">
        <f t="array" ref="W105">_xlfn.IFS(V105&gt;20,"P1: Critical",15&lt;V105&lt;20,"P2: High",V105&lt;10&lt;15,"P3:Medium",V105&lt;10,"P4: Low")</f>
        <v>P4: Low</v>
      </c>
    </row>
    <row r="106" spans="1:23" ht="48" customHeight="1" x14ac:dyDescent="0.35">
      <c r="A106" s="4" t="s">
        <v>440</v>
      </c>
      <c r="B106" s="4" t="s">
        <v>441</v>
      </c>
      <c r="C106" s="4" t="s">
        <v>462</v>
      </c>
      <c r="D106" s="5" t="s">
        <v>463</v>
      </c>
      <c r="E106" s="4" t="s">
        <v>464</v>
      </c>
      <c r="F106" s="11" t="s">
        <v>465</v>
      </c>
      <c r="G106" s="4" t="s">
        <v>34</v>
      </c>
      <c r="H106" s="4"/>
      <c r="I106" s="4"/>
      <c r="J106" s="4"/>
      <c r="K106" s="6">
        <v>2</v>
      </c>
      <c r="L106" s="6" t="str">
        <f>VLOOKUP(K106, 'Maturity Scale'!A:B,2,FALSE)</f>
        <v>Risk Informed</v>
      </c>
      <c r="M106" s="7">
        <v>3</v>
      </c>
      <c r="N106" s="7" t="str">
        <f>VLOOKUP(M106,'Maturity Scale'!A:B,2,FALSE)</f>
        <v>Repeatable</v>
      </c>
      <c r="O106" s="15">
        <f t="shared" si="3"/>
        <v>1</v>
      </c>
      <c r="P106" s="18"/>
      <c r="Q106" s="18"/>
      <c r="U106">
        <f t="shared" si="4"/>
        <v>0</v>
      </c>
      <c r="V106">
        <f t="shared" si="5"/>
        <v>0</v>
      </c>
      <c r="W106" t="str" cm="1">
        <f t="array" ref="W106">_xlfn.IFS(V106&gt;20,"P1: Critical",15&lt;V106&lt;20,"P2: High",V106&lt;10&lt;15,"P3:Medium",V106&lt;10,"P4: Low")</f>
        <v>P4: Low</v>
      </c>
    </row>
    <row r="107" spans="1:23" ht="144" customHeight="1" x14ac:dyDescent="0.35">
      <c r="A107" s="4" t="s">
        <v>440</v>
      </c>
      <c r="B107" s="4" t="s">
        <v>466</v>
      </c>
      <c r="C107" s="4" t="s">
        <v>467</v>
      </c>
      <c r="D107" s="5" t="s">
        <v>468</v>
      </c>
      <c r="E107" s="4" t="s">
        <v>469</v>
      </c>
      <c r="F107" s="11" t="s">
        <v>470</v>
      </c>
      <c r="G107" s="4" t="s">
        <v>34</v>
      </c>
      <c r="H107" s="4"/>
      <c r="I107" s="4"/>
      <c r="J107" s="4"/>
      <c r="K107" s="6">
        <v>3</v>
      </c>
      <c r="L107" s="6" t="str">
        <f>VLOOKUP(K107, 'Maturity Scale'!A:B,2,FALSE)</f>
        <v>Repeatable</v>
      </c>
      <c r="M107" s="7">
        <v>3</v>
      </c>
      <c r="N107" s="7" t="str">
        <f>VLOOKUP(M107,'Maturity Scale'!A:B,2,FALSE)</f>
        <v>Repeatable</v>
      </c>
      <c r="O107" s="15">
        <f t="shared" si="3"/>
        <v>0</v>
      </c>
      <c r="P107" s="18"/>
      <c r="Q107" s="18"/>
      <c r="U107">
        <f t="shared" si="4"/>
        <v>0</v>
      </c>
      <c r="V107">
        <f t="shared" si="5"/>
        <v>0</v>
      </c>
      <c r="W107" t="str" cm="1">
        <f t="array" ref="W107">_xlfn.IFS(V107&gt;20,"P1: Critical",15&lt;V107&lt;20,"P2: High",V107&lt;10&lt;15,"P3:Medium",V107&lt;10,"P4: Low")</f>
        <v>P4: Low</v>
      </c>
    </row>
    <row r="108" spans="1:23" ht="64" customHeight="1" x14ac:dyDescent="0.35">
      <c r="A108" s="4" t="s">
        <v>440</v>
      </c>
      <c r="B108" s="4" t="s">
        <v>466</v>
      </c>
      <c r="C108" s="4" t="s">
        <v>471</v>
      </c>
      <c r="D108" s="5" t="s">
        <v>472</v>
      </c>
      <c r="E108" s="4" t="s">
        <v>473</v>
      </c>
      <c r="F108" s="11" t="s">
        <v>474</v>
      </c>
      <c r="G108" s="4" t="s">
        <v>20</v>
      </c>
      <c r="H108" s="4"/>
      <c r="I108" s="4"/>
      <c r="J108" s="4"/>
      <c r="K108" s="6">
        <v>1</v>
      </c>
      <c r="L108" s="6" t="str">
        <f>VLOOKUP(K108, 'Maturity Scale'!A:B,2,FALSE)</f>
        <v>Partial</v>
      </c>
      <c r="M108" s="7">
        <v>3</v>
      </c>
      <c r="N108" s="7" t="str">
        <f>VLOOKUP(M108,'Maturity Scale'!A:B,2,FALSE)</f>
        <v>Repeatable</v>
      </c>
      <c r="O108" s="15">
        <f t="shared" si="3"/>
        <v>2</v>
      </c>
      <c r="P108" s="18"/>
      <c r="Q108" s="18"/>
      <c r="U108">
        <f t="shared" si="4"/>
        <v>0</v>
      </c>
      <c r="V108">
        <f t="shared" si="5"/>
        <v>0</v>
      </c>
      <c r="W108" t="str" cm="1">
        <f t="array" ref="W108">_xlfn.IFS(V108&gt;20,"P1: Critical",15&lt;V108&lt;20,"P2: High",V108&lt;10&lt;15,"P3:Medium",V108&lt;10,"P4: Low")</f>
        <v>P4: Low</v>
      </c>
    </row>
  </sheetData>
  <mergeCells count="1">
    <mergeCell ref="R1:T1"/>
  </mergeCells>
  <dataValidations count="5">
    <dataValidation type="list" allowBlank="1" showInputMessage="1" showErrorMessage="1" errorTitle="Invalid Evidence Status" error="Please select an evidence status from the dropdown." promptTitle="Evidence Status" prompt="Select the current evidence submission status." sqref="H3:H108" xr:uid="{00000000-0002-0000-0000-000000000000}">
      <formula1>EvidenceStatusList</formula1>
    </dataValidation>
    <dataValidation type="list" allowBlank="1" showInputMessage="1" showErrorMessage="1" sqref="M3:M108 K1:K1048576" xr:uid="{C249803D-6A5D-41D7-BCB6-D598E1BFFB5A}">
      <formula1>MaturityScore</formula1>
    </dataValidation>
    <dataValidation type="list" allowBlank="1" showInputMessage="1" showErrorMessage="1" sqref="L3:L7 N3:N108" xr:uid="{44EC564B-4966-4627-B14B-9B7F62F0C1BB}">
      <formula1>MaturityLevel</formula1>
    </dataValidation>
    <dataValidation type="list" allowBlank="1" showInputMessage="1" showErrorMessage="1" sqref="Q3:Q108" xr:uid="{06ABD760-B3ED-45A7-8095-47FD8FC2B340}">
      <formula1>LikelihoodScore</formula1>
    </dataValidation>
    <dataValidation type="list" allowBlank="1" showInputMessage="1" showErrorMessage="1" sqref="R3:T108" xr:uid="{C8B10A1A-3771-46A8-A3C0-C26570CE3D2D}">
      <formula1>ImpactScore</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2B1A-741A-4D61-A722-7BE35CF4D64E}">
  <dimension ref="A1:C4"/>
  <sheetViews>
    <sheetView workbookViewId="0">
      <selection activeCell="B15" sqref="B15"/>
    </sheetView>
  </sheetViews>
  <sheetFormatPr defaultRowHeight="14.5" x14ac:dyDescent="0.35"/>
  <cols>
    <col min="1" max="1" width="28.1796875" customWidth="1"/>
    <col min="2" max="2" width="54.1796875" customWidth="1"/>
    <col min="3" max="3" width="42" customWidth="1"/>
  </cols>
  <sheetData>
    <row r="1" spans="1:3" x14ac:dyDescent="0.35">
      <c r="A1" t="s">
        <v>486</v>
      </c>
      <c r="B1" t="s">
        <v>490</v>
      </c>
      <c r="C1" t="s">
        <v>494</v>
      </c>
    </row>
    <row r="2" spans="1:3" x14ac:dyDescent="0.35">
      <c r="A2" t="s">
        <v>487</v>
      </c>
      <c r="B2" t="s">
        <v>491</v>
      </c>
      <c r="C2" t="s">
        <v>495</v>
      </c>
    </row>
    <row r="3" spans="1:3" x14ac:dyDescent="0.35">
      <c r="A3" t="s">
        <v>488</v>
      </c>
      <c r="B3" t="s">
        <v>492</v>
      </c>
      <c r="C3" t="s">
        <v>496</v>
      </c>
    </row>
    <row r="4" spans="1:3" x14ac:dyDescent="0.35">
      <c r="A4" t="s">
        <v>489</v>
      </c>
      <c r="B4" t="s">
        <v>493</v>
      </c>
      <c r="C4" t="s">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7398-6947-4176-8F00-AFA164EDD1B7}">
  <dimension ref="A1:B5"/>
  <sheetViews>
    <sheetView workbookViewId="0">
      <selection activeCell="A6" sqref="A6"/>
    </sheetView>
  </sheetViews>
  <sheetFormatPr defaultRowHeight="14.5" x14ac:dyDescent="0.35"/>
  <cols>
    <col min="1" max="1" width="8.7265625" style="16"/>
    <col min="2" max="2" width="13.6328125" customWidth="1"/>
  </cols>
  <sheetData>
    <row r="1" spans="1:2" x14ac:dyDescent="0.35">
      <c r="A1" s="16">
        <v>1</v>
      </c>
      <c r="B1" t="s">
        <v>500</v>
      </c>
    </row>
    <row r="2" spans="1:2" x14ac:dyDescent="0.35">
      <c r="A2" s="16">
        <v>2</v>
      </c>
      <c r="B2" t="s">
        <v>503</v>
      </c>
    </row>
    <row r="3" spans="1:2" x14ac:dyDescent="0.35">
      <c r="A3" s="16">
        <v>3</v>
      </c>
      <c r="B3" t="s">
        <v>501</v>
      </c>
    </row>
    <row r="4" spans="1:2" x14ac:dyDescent="0.35">
      <c r="A4" s="16">
        <v>4</v>
      </c>
      <c r="B4" t="s">
        <v>502</v>
      </c>
    </row>
    <row r="5" spans="1:2" x14ac:dyDescent="0.35">
      <c r="A5" s="16" t="s">
        <v>522</v>
      </c>
      <c r="B5" t="s">
        <v>522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ED9B-0E7F-4F56-BDF8-CA9581493CE0}">
  <dimension ref="A1:F14"/>
  <sheetViews>
    <sheetView topLeftCell="A5" workbookViewId="0">
      <selection activeCell="A10" sqref="A10:B14"/>
    </sheetView>
  </sheetViews>
  <sheetFormatPr defaultRowHeight="14.5" x14ac:dyDescent="0.35"/>
  <cols>
    <col min="1" max="1" width="25.7265625" customWidth="1"/>
    <col min="2" max="2" width="20.81640625" customWidth="1"/>
    <col min="3" max="3" width="29.453125" customWidth="1"/>
    <col min="5" max="5" width="16.54296875" customWidth="1"/>
    <col min="6" max="6" width="26.6328125" customWidth="1"/>
  </cols>
  <sheetData>
    <row r="1" spans="1:6" ht="15" thickBot="1" x14ac:dyDescent="0.4">
      <c r="A1" s="33" t="s">
        <v>580</v>
      </c>
      <c r="B1" s="34"/>
      <c r="C1" s="34"/>
      <c r="E1" s="33" t="s">
        <v>601</v>
      </c>
      <c r="F1" s="34"/>
    </row>
    <row r="2" spans="1:6" ht="16.5" thickBot="1" x14ac:dyDescent="0.4">
      <c r="A2" s="19" t="s">
        <v>581</v>
      </c>
      <c r="B2" s="20" t="s">
        <v>582</v>
      </c>
      <c r="C2" s="21" t="s">
        <v>583</v>
      </c>
      <c r="E2" s="19" t="s">
        <v>581</v>
      </c>
      <c r="F2" s="20" t="s">
        <v>582</v>
      </c>
    </row>
    <row r="3" spans="1:6" ht="47" customHeight="1" thickBot="1" x14ac:dyDescent="0.4">
      <c r="A3" s="22">
        <v>1</v>
      </c>
      <c r="B3" s="23" t="s">
        <v>584</v>
      </c>
      <c r="C3" s="24" t="s">
        <v>585</v>
      </c>
      <c r="E3" s="22">
        <v>1</v>
      </c>
      <c r="F3" s="23" t="s">
        <v>595</v>
      </c>
    </row>
    <row r="4" spans="1:6" ht="46" customHeight="1" thickBot="1" x14ac:dyDescent="0.4">
      <c r="A4" s="22">
        <v>2</v>
      </c>
      <c r="B4" s="23" t="s">
        <v>586</v>
      </c>
      <c r="C4" s="24" t="s">
        <v>587</v>
      </c>
      <c r="E4" s="22">
        <v>2</v>
      </c>
      <c r="F4" s="23" t="s">
        <v>596</v>
      </c>
    </row>
    <row r="5" spans="1:6" ht="49" customHeight="1" thickBot="1" x14ac:dyDescent="0.4">
      <c r="A5" s="22">
        <v>3</v>
      </c>
      <c r="B5" s="23" t="s">
        <v>588</v>
      </c>
      <c r="C5" s="24" t="s">
        <v>589</v>
      </c>
      <c r="E5" s="22">
        <v>3</v>
      </c>
      <c r="F5" s="23" t="s">
        <v>597</v>
      </c>
    </row>
    <row r="6" spans="1:6" ht="42" customHeight="1" thickBot="1" x14ac:dyDescent="0.4">
      <c r="A6" s="22">
        <v>4</v>
      </c>
      <c r="B6" s="23" t="s">
        <v>590</v>
      </c>
      <c r="C6" s="24" t="s">
        <v>591</v>
      </c>
      <c r="E6" s="22">
        <v>4</v>
      </c>
      <c r="F6" s="23" t="s">
        <v>598</v>
      </c>
    </row>
    <row r="7" spans="1:6" ht="45.5" customHeight="1" thickBot="1" x14ac:dyDescent="0.4">
      <c r="A7" s="22">
        <v>5</v>
      </c>
      <c r="B7" s="23" t="s">
        <v>592</v>
      </c>
      <c r="C7" s="24" t="s">
        <v>593</v>
      </c>
      <c r="E7" s="22">
        <v>5</v>
      </c>
      <c r="F7" s="23" t="s">
        <v>599</v>
      </c>
    </row>
    <row r="8" spans="1:6" ht="19" customHeight="1" x14ac:dyDescent="0.35">
      <c r="A8" s="26"/>
      <c r="B8" s="26"/>
      <c r="C8" s="27"/>
      <c r="E8" s="26"/>
      <c r="F8" s="26"/>
    </row>
    <row r="9" spans="1:6" x14ac:dyDescent="0.35">
      <c r="A9" s="31" t="s">
        <v>606</v>
      </c>
      <c r="B9" s="32"/>
    </row>
    <row r="10" spans="1:6" ht="16" x14ac:dyDescent="0.35">
      <c r="A10" s="28" t="s">
        <v>581</v>
      </c>
      <c r="B10" s="29" t="s">
        <v>611</v>
      </c>
    </row>
    <row r="11" spans="1:6" ht="16" x14ac:dyDescent="0.35">
      <c r="A11" s="28" t="s">
        <v>607</v>
      </c>
      <c r="B11" s="29" t="s">
        <v>612</v>
      </c>
    </row>
    <row r="12" spans="1:6" ht="16" x14ac:dyDescent="0.35">
      <c r="A12" s="28" t="s">
        <v>608</v>
      </c>
      <c r="B12" s="29" t="s">
        <v>613</v>
      </c>
    </row>
    <row r="13" spans="1:6" ht="16" x14ac:dyDescent="0.35">
      <c r="A13" s="30" t="s">
        <v>609</v>
      </c>
      <c r="B13" s="29" t="s">
        <v>614</v>
      </c>
    </row>
    <row r="14" spans="1:6" ht="16" x14ac:dyDescent="0.35">
      <c r="A14" s="28" t="s">
        <v>610</v>
      </c>
      <c r="B14" s="29" t="s">
        <v>615</v>
      </c>
    </row>
  </sheetData>
  <mergeCells count="3">
    <mergeCell ref="A1:C1"/>
    <mergeCell ref="E1:F1"/>
    <mergeCell ref="A9: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1"/>
  <sheetViews>
    <sheetView workbookViewId="0"/>
  </sheetViews>
  <sheetFormatPr defaultRowHeight="14.5" x14ac:dyDescent="0.35"/>
  <sheetData>
    <row r="1" spans="1:1" x14ac:dyDescent="0.35">
      <c r="A1" t="s">
        <v>475</v>
      </c>
    </row>
    <row r="2" spans="1:1" x14ac:dyDescent="0.35">
      <c r="A2" t="s">
        <v>476</v>
      </c>
    </row>
    <row r="3" spans="1:1" x14ac:dyDescent="0.35">
      <c r="A3" t="s">
        <v>477</v>
      </c>
    </row>
    <row r="4" spans="1:1" x14ac:dyDescent="0.35">
      <c r="A4" t="s">
        <v>478</v>
      </c>
    </row>
    <row r="5" spans="1:1" x14ac:dyDescent="0.35">
      <c r="A5" t="s">
        <v>479</v>
      </c>
    </row>
    <row r="6" spans="1:1" x14ac:dyDescent="0.35">
      <c r="A6" t="s">
        <v>480</v>
      </c>
    </row>
    <row r="7" spans="1:1" x14ac:dyDescent="0.35">
      <c r="A7" t="s">
        <v>481</v>
      </c>
    </row>
    <row r="8" spans="1:1" x14ac:dyDescent="0.35">
      <c r="A8" t="s">
        <v>482</v>
      </c>
    </row>
    <row r="9" spans="1:1" x14ac:dyDescent="0.35">
      <c r="A9" t="s">
        <v>483</v>
      </c>
    </row>
    <row r="10" spans="1:1" x14ac:dyDescent="0.35">
      <c r="A10" t="s">
        <v>484</v>
      </c>
    </row>
    <row r="11" spans="1:1" x14ac:dyDescent="0.35">
      <c r="A11" t="s">
        <v>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Evidence Register</vt:lpstr>
      <vt:lpstr>Evidence reference</vt:lpstr>
      <vt:lpstr>Maturity Scale</vt:lpstr>
      <vt:lpstr>Risk Matrix</vt:lpstr>
      <vt:lpstr>_EvidenceTypeLists</vt:lpstr>
      <vt:lpstr>EvidenceStatusList</vt:lpstr>
      <vt:lpstr>ImpactScore</vt:lpstr>
      <vt:lpstr>LikelihoodScore</vt:lpstr>
      <vt:lpstr>MaturityLevel</vt:lpstr>
      <vt:lpstr>MaturityScore</vt:lpstr>
      <vt:lpstr>RiskScore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Dwivedi</dc:creator>
  <cp:lastModifiedBy>Himanshu Dwivedi</cp:lastModifiedBy>
  <dcterms:created xsi:type="dcterms:W3CDTF">2015-06-05T18:17:20Z</dcterms:created>
  <dcterms:modified xsi:type="dcterms:W3CDTF">2026-10-07T11:09:51Z</dcterms:modified>
</cp:coreProperties>
</file>