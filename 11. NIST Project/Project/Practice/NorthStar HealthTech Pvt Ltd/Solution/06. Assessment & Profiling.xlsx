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HDW\Sec\GRC\11. NIST Project\Project\Practice\NorthStar HealthTech Pvt Ltd\Solution\"/>
    </mc:Choice>
  </mc:AlternateContent>
  <xr:revisionPtr revIDLastSave="0" documentId="13_ncr:1_{D1A2B188-2BF7-4C23-A99B-5D580404CCB5}" xr6:coauthVersionLast="47" xr6:coauthVersionMax="47" xr10:uidLastSave="{00000000-0000-0000-0000-000000000000}"/>
  <bookViews>
    <workbookView xWindow="-110" yWindow="-110" windowWidth="19420" windowHeight="10300" xr2:uid="{00000000-000D-0000-FFFF-FFFF00000000}"/>
  </bookViews>
  <sheets>
    <sheet name="Evidence Register" sheetId="1" r:id="rId1"/>
    <sheet name="Evidence reference" sheetId="3" r:id="rId2"/>
    <sheet name="Maturity Scale" sheetId="4" r:id="rId3"/>
    <sheet name="Risk Matrix" sheetId="5" r:id="rId4"/>
    <sheet name="_EvidenceTypeLists" sheetId="2" state="hidden" r:id="rId5"/>
  </sheets>
  <definedNames>
    <definedName name="EvidenceStatusList">_EvidenceTypeLists!$A$1:$A$11</definedName>
    <definedName name="ImpactScore">'Risk Matrix'!$E$3:$E$7</definedName>
    <definedName name="LikelihoodScore">'Risk Matrix'!$A$3:$A$7</definedName>
    <definedName name="MaturityLevel">'Maturity Scale'!$B$1:$B$5</definedName>
    <definedName name="MaturityScore">'Maturity Scale'!$A$1:$A$5</definedName>
    <definedName name="RiskScore">'Risk Matrix'!$A$11:$A$14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1" l="1"/>
  <c r="L23" i="1"/>
  <c r="N23" i="1"/>
  <c r="L22" i="1"/>
  <c r="N22" i="1"/>
  <c r="O8" i="1"/>
  <c r="O7" i="1"/>
  <c r="O4" i="1"/>
  <c r="O5" i="1"/>
  <c r="O6" i="1"/>
  <c r="O9" i="1"/>
  <c r="O10" i="1"/>
  <c r="O11" i="1"/>
  <c r="O12" i="1"/>
  <c r="O13" i="1"/>
  <c r="O14" i="1"/>
  <c r="O15" i="1"/>
  <c r="O16" i="1"/>
  <c r="O17" i="1"/>
  <c r="O18" i="1"/>
  <c r="O19" i="1"/>
  <c r="O20"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3" i="1"/>
  <c r="N9" i="1"/>
  <c r="N10" i="1"/>
  <c r="N11" i="1"/>
  <c r="N12" i="1"/>
  <c r="N13" i="1"/>
  <c r="N14" i="1"/>
  <c r="N15" i="1"/>
  <c r="N16" i="1"/>
  <c r="N17" i="1"/>
  <c r="N18" i="1"/>
  <c r="N19" i="1"/>
  <c r="N20" i="1"/>
  <c r="N21"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L9" i="1"/>
  <c r="L10" i="1"/>
  <c r="L11" i="1"/>
  <c r="L12" i="1"/>
  <c r="L13" i="1"/>
  <c r="L14" i="1"/>
  <c r="L15" i="1"/>
  <c r="L16" i="1"/>
  <c r="L17" i="1"/>
  <c r="L18" i="1"/>
  <c r="L19" i="1"/>
  <c r="L20" i="1"/>
  <c r="L21"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N8" i="1"/>
  <c r="L8" i="1"/>
</calcChain>
</file>

<file path=xl/sharedStrings.xml><?xml version="1.0" encoding="utf-8"?>
<sst xmlns="http://schemas.openxmlformats.org/spreadsheetml/2006/main" count="929" uniqueCount="610">
  <si>
    <t>Function</t>
  </si>
  <si>
    <t>Category</t>
  </si>
  <si>
    <t>Subcategory</t>
  </si>
  <si>
    <t>Subcategory description</t>
  </si>
  <si>
    <t>Evidence should fulfill following requirements</t>
  </si>
  <si>
    <t>Required Evidence</t>
  </si>
  <si>
    <t>Owner</t>
  </si>
  <si>
    <t>Evidence Status</t>
  </si>
  <si>
    <t>Evidence Type(s)</t>
  </si>
  <si>
    <t>Owner's Remarks</t>
  </si>
  <si>
    <t>Current Maturity Level</t>
  </si>
  <si>
    <t>Current Maturity Score</t>
  </si>
  <si>
    <t>Target Maturity Level</t>
  </si>
  <si>
    <t>Target Maturity Score</t>
  </si>
  <si>
    <t>GOVERN (GV)</t>
  </si>
  <si>
    <t>Organizational Context (GV.OC)</t>
  </si>
  <si>
    <t>GV.OC-01</t>
  </si>
  <si>
    <t>The organizational mission is understood and informs cyberSecurity risk management</t>
  </si>
  <si>
    <t>Ex1: Share the organization's mission (e.g., through vision and mission statements, marketing, and service strategies) to provide a basis for identifying risks that may impede that mission</t>
  </si>
  <si>
    <t>Mission Statement/Mission Document</t>
  </si>
  <si>
    <t>CISO</t>
  </si>
  <si>
    <t>GV.OC-02</t>
  </si>
  <si>
    <t>Internal and external stakeholders are understood, and their needs and expectations regarding cyberSecurity risk management are understood and considered</t>
  </si>
  <si>
    <t>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</si>
  <si>
    <t>Stakeholder Register along with their expectations of internal and external stakeholders</t>
  </si>
  <si>
    <t>GV.OC-03</t>
  </si>
  <si>
    <t>Legal, regulatory, and contractual requirements regarding cyberSecurity - including privacy and civil liberties obligations - are understood and managed</t>
  </si>
  <si>
    <t>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</si>
  <si>
    <t>1. Legal, regulatory and contractual requirements register/matrix covering applicable requirements for India, UAE and Singapore.
2. Process/methodology for identifying, assessing, tracking and updating applicable requirements.
3. Sample evidence showing how significant requirements are communicated and incorporated into cyberSecurity practices.</t>
  </si>
  <si>
    <t>Legal &amp; Compliance</t>
  </si>
  <si>
    <t>GV.OC-04</t>
  </si>
  <si>
    <t>Critical objectives, capabilities, and services that external stakeholders depend on or expect from the organization are understood and communicated</t>
  </si>
  <si>
    <t>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</si>
  <si>
    <t>Key Critical Services for external stakeholder:
-Policy/Criteria to determine Key Critical Services, 
-List of critical objectives, capabilities and services, including relevant assets and stakeholder dependencies, with applicable SLA/RTO requirements.
-Communication evidence</t>
  </si>
  <si>
    <t>IT operations</t>
  </si>
  <si>
    <t>GV.OC-05</t>
  </si>
  <si>
    <t>Outcomes, capabilities, and services that the organization depends on are understood and communicated</t>
  </si>
  <si>
    <t>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t>
  </si>
  <si>
    <t>1. Dependency inventory/mapping showing critical services, business functions and their dependencies on external/internal resources.
2. Identification/classification of critical dependencies and potential points of failure.
3. Relevant SLA/RTO/dependency requirements.
4. Evidence that dependency information is communicated to relevant personnel.</t>
  </si>
  <si>
    <t>Risk Management Strategy (GV.RM)</t>
  </si>
  <si>
    <t>GV.RM-01</t>
  </si>
  <si>
    <t>Risk management objectives are established and agreed to by organizational stakeholders</t>
  </si>
  <si>
    <t>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</si>
  <si>
    <t>Risk Management Policy defining measurable risk management objectives with evidence of management approval/endorsement</t>
  </si>
  <si>
    <t>GV.RM-02</t>
  </si>
  <si>
    <t>Risk appetite and risk tolerance statements are established, communicated, and maintained</t>
  </si>
  <si>
    <t>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</si>
  <si>
    <t>1. Risk Management Policy defining risk tolerance and risk appetite statements
2. Evidence of Communication
3. Evidence of periodic review/versions</t>
  </si>
  <si>
    <t>GV.RM-03</t>
  </si>
  <si>
    <t>CyberSecurity risk management activities and outcomes are included in enterprise risk management processes</t>
  </si>
  <si>
    <t>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</si>
  <si>
    <t>1. Policy showing integration of cberSecurity risk management with enterprise risk management.
2.Inclusion of cyber risk in enterprise risk Register
3. Escalation matrix leading cyber risk to enterprise channel</t>
  </si>
  <si>
    <t>GV.RM-04</t>
  </si>
  <si>
    <t>Strategic direction that describes appropriate risk response options is established and communicated</t>
  </si>
  <si>
    <t>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</si>
  <si>
    <t>Risk Management Policy showing risk response criteria + communication</t>
  </si>
  <si>
    <t>GV.RM-05</t>
  </si>
  <si>
    <t>Lines of communication across the organization are established for cyberSecurity risks, including risks from suppliers and other third parties</t>
  </si>
  <si>
    <t>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</si>
  <si>
    <t>Template/Policy depicting communication channel among different department of the organization and with Third parties
Sample of cyber Security risk reporting between departments/third parties</t>
  </si>
  <si>
    <t>GV.RM-06</t>
  </si>
  <si>
    <t>A standardized method for calculating, documenting, categorizing, and prioritizing cyberSecurity risks is established and communicated</t>
  </si>
  <si>
    <t>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</si>
  <si>
    <t>1. Risk Management Policy defing Risk Matrix/Risk Classification Criteria 
2. Evidence of communication
3. Sample to depict actual implementation as per policy/criteria</t>
  </si>
  <si>
    <t>GV.RM-07</t>
  </si>
  <si>
    <t>Strategic opportunities (i.e., positive risks) are characterized and are included in organizational cyberSecurity risk discussions</t>
  </si>
  <si>
    <t>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</si>
  <si>
    <t>Risk Management Policy depicting process to deal with identified opportunities to improve.
Evidence showing mechanism to deal with opportunities.</t>
  </si>
  <si>
    <t>Roles, Responsibilities, and Authorities (GV.RR)</t>
  </si>
  <si>
    <t>GV.RR-01</t>
  </si>
  <si>
    <t>Organizational leadership is responsible and accountable for cyberSecurity risk and fosters a culture that is risk-aware, ethical, and continually improving</t>
  </si>
  <si>
    <t>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</si>
  <si>
    <t xml:space="preserve">Evidences showing leadership endorsement 
Sample of leadership endorsement
Roles &amp; Responsibilities should be defined in Information Security Policy
</t>
  </si>
  <si>
    <t>GV.RR-02</t>
  </si>
  <si>
    <t>Roles, responsibilities, and authorities related to cyberSecurity risk management are established, communicated, understood, and enforced</t>
  </si>
  <si>
    <t>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</si>
  <si>
    <t>1. Information Security policy where cyberSecurity roles and responsibilities are defined
2. Evidence of communication</t>
  </si>
  <si>
    <t>GV.RR-03</t>
  </si>
  <si>
    <t>Adequate resources are allocated commensurate with the cyberSecurity risk strategy, roles, responsibilities, and policies</t>
  </si>
  <si>
    <t>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</si>
  <si>
    <t>1. CyberSecurity resource/budget plan or equivalent resource allocation evidence.
2. CyberSecurity staffing/resource allocation information.
3. Evidence of management review/approval of cyberSecurity resource requirements, where applicable.</t>
  </si>
  <si>
    <t>GV.RR-04</t>
  </si>
  <si>
    <t>CyberSecurity is included in human resources practices</t>
  </si>
  <si>
    <t>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</si>
  <si>
    <t xml:space="preserve">HR- onboarding/offboarding and other policies depicting inclusion of cyberSecurity in practices
Monitoring process and evidence </t>
  </si>
  <si>
    <t>HR</t>
  </si>
  <si>
    <t>Policy (GV.PO)</t>
  </si>
  <si>
    <t>GV.PO-01</t>
  </si>
  <si>
    <t>Policy for managing cyberSecurity risks is established based on organizational context, cyberSecurity strategy, and priorities and is communicated and enforced</t>
  </si>
  <si>
    <t>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</si>
  <si>
    <t>1. Risk Management Policy 
2. Evidence of communication and approval</t>
  </si>
  <si>
    <t>GV.PO-02</t>
  </si>
  <si>
    <t>Policy for managing cyberSecurity risks is reviewed, updated, communicated, and enforced to reflect changes in requirements, threats, technology, and organizational mission</t>
  </si>
  <si>
    <t>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</si>
  <si>
    <t>Risk Management policy versions and process to manage change/update in policy</t>
  </si>
  <si>
    <t>Oversight (GV.OV)</t>
  </si>
  <si>
    <t>GV.OV-01</t>
  </si>
  <si>
    <t>CyberSecurity risk management strategy outcomes are reviewed to inform and adjust strategy and direction</t>
  </si>
  <si>
    <t>Ex1: Measure how well the risk management strategy and risk results have helped leaders make decisions and achieve organizational objectives
Ex2: Examine whether cyberSecurity risk strategies that impede operations or innovation should be adjusted</t>
  </si>
  <si>
    <t>1. Records/minutes/reports of periodic cyberSecurity risk management strategy reviews.
2. Evidence of management/leadership review of cyberSecurity risk posture and strategy.
3. Resulting decisions, actions or strategy updates, where applicable.</t>
  </si>
  <si>
    <t>GV.OV-02</t>
  </si>
  <si>
    <t>The cyberSecurity risk management strategy is reviewed and adjusted to ensure coverage of organizational requirements and risks</t>
  </si>
  <si>
    <t>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</si>
  <si>
    <t>1. Reports/results of periodic reviews, audits or assessments evaluating whether the cyberSecurity risk management strategy addresses organizational requirements and risks.
2. Evidence of actions or changes to the cyberSecurity risk management strategy resulting from identified findings, where applicable.</t>
  </si>
  <si>
    <t>GV.OV-03</t>
  </si>
  <si>
    <t>Organizational cyberSecurity risk management performance is evaluated and reviewed for adjustments needed</t>
  </si>
  <si>
    <t>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</si>
  <si>
    <t>1. CyberSecurity risk management performance metrics/KPIs or equivalent measures.
2. Periodic performance review records showing comparison of results over time.
3. Evidence of corrective/improvement actions resulting from performance reviews, where applicable.</t>
  </si>
  <si>
    <t>CyberSecurity Supply Chain Risk Management (GV.SC)</t>
  </si>
  <si>
    <t>GV.SC-01</t>
  </si>
  <si>
    <t>A cyberSecurity supply chain risk management program, strategy, objectives, policies, and processes are established and agreed to by organizational stakeholders</t>
  </si>
  <si>
    <t>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t>
  </si>
  <si>
    <t xml:space="preserve">Supply Chain Risk Management Policy/TPRM policy
</t>
  </si>
  <si>
    <t>GV.SC-02</t>
  </si>
  <si>
    <t>CyberSecurity roles and responsibilities for suppliers, customers, and partners are established, communicated, and coordinated internally and externally</t>
  </si>
  <si>
    <t>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t>
  </si>
  <si>
    <t xml:space="preserve">Supply Chain Risk Management Policy/TPRM policy depicting the roles and responsibilities for Suppliers, Customers &amp; Partners
</t>
  </si>
  <si>
    <t>GV.SC-03</t>
  </si>
  <si>
    <t>CyberSecurity supply chain risk management is integrated into cyberSecurity and enterprise risk management, risk assessment, and improvement processes</t>
  </si>
  <si>
    <t>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t>
  </si>
  <si>
    <t>CyberSecurity and enterprise risk register contains risk related to supply chain</t>
  </si>
  <si>
    <t>GV.SC-04</t>
  </si>
  <si>
    <t>Suppliers are known and prioritized by criticality</t>
  </si>
  <si>
    <t>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t>
  </si>
  <si>
    <t xml:space="preserve">1. Supplier classification policy/criteria
2. Supplier List by Criticality </t>
  </si>
  <si>
    <t>Procurement</t>
  </si>
  <si>
    <t>GV.SC-05</t>
  </si>
  <si>
    <t>Requirements to address cyberSecurity risks in supply chains are established, prioritized, and integrated into contracts and other types of agreements with suppliers and other relevant third parties</t>
  </si>
  <si>
    <t>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t>
  </si>
  <si>
    <t>1. Due diligence questionnaire
2. Evidence of contracts/agreements showing the integration of cyberSecurity risk.</t>
  </si>
  <si>
    <t>GV.SC-06</t>
  </si>
  <si>
    <t>Planning and due diligence are performed to reduce risks before entering into formal supplier or other third-party relationships</t>
  </si>
  <si>
    <t>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t>
  </si>
  <si>
    <t>1. Due diligence questionnaire
2. Evidence of due diligence process</t>
  </si>
  <si>
    <t>GV.SC-07</t>
  </si>
  <si>
    <t>The risks posed by a supplier, their products and services, and other third parties are understood, recorded, prioritized, assessed, responded to, and monitored over the course of the relationship</t>
  </si>
  <si>
    <t>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t>
  </si>
  <si>
    <t>TPRM Policy
Supplier assessments results and actions</t>
  </si>
  <si>
    <t>GV.SC-08</t>
  </si>
  <si>
    <t>Relevant suppliers and other third parties are included in incident planning, response, and recovery activities</t>
  </si>
  <si>
    <t>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t>
  </si>
  <si>
    <t xml:space="preserve">Incident response/recovery plan/execution depicting the inclusion of relevant third parties 
</t>
  </si>
  <si>
    <t>Security</t>
  </si>
  <si>
    <t>GV.SC-09</t>
  </si>
  <si>
    <t>Supply chain Security practices are integrated into cyberSecurity and enterprise risk management programs, and their performance is monitored throughout the technology product and service life cycle</t>
  </si>
  <si>
    <t>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t>
  </si>
  <si>
    <t>1. Evidence showing supply-chain risk management performance is monitored throughout the technology/product/service lifecycle.
2. Supplier performance/Security review records.
3. Evidence of periodic review and improvement of supply-chain risk management activities.
4. Where applicable, evidence of supply-chain risk integration with enterprise risk management.</t>
  </si>
  <si>
    <t>GV.SC-10</t>
  </si>
  <si>
    <t>CyberSecurity supply chain risk management plans include provisions for activities that occur after the conclusion of a partnership or service agreement</t>
  </si>
  <si>
    <t>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t>
  </si>
  <si>
    <t>Supplyy chain risk management policy depicting the plan, criteria to terminate a contract and activities/roles-responsibilities done during or after the termination on contract.</t>
  </si>
  <si>
    <t>IDENTIFY (ID)</t>
  </si>
  <si>
    <t>Asset Management (ID.AM)</t>
  </si>
  <si>
    <t>ID.AM-01</t>
  </si>
  <si>
    <t>Inventories of hardware managed by the organization are maintained</t>
  </si>
  <si>
    <t>Ex1: Maintain inventories for all types of hardware, including IT, IoT, OT, and mobile devices
Ex2: Constantly monitor networks to detect new hardware and automatically update inventories</t>
  </si>
  <si>
    <t>1. Asset register with the list of all hadwares in the organization.
2. Evidence of asset register update</t>
  </si>
  <si>
    <t>ID.AM-02</t>
  </si>
  <si>
    <t>Inventories of software, services, and systems managed by the organization are maintained</t>
  </si>
  <si>
    <t>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</si>
  <si>
    <t>1. Asset register with the list of all softwares/services in the organization.
2. Evidence of asset register update</t>
  </si>
  <si>
    <t>ID.AM-03</t>
  </si>
  <si>
    <t>Representations of the organization's authorized network communication and internal and external network data flows are maintained</t>
  </si>
  <si>
    <t>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</si>
  <si>
    <t>Network data flow diagram</t>
  </si>
  <si>
    <t>ID.AM-04</t>
  </si>
  <si>
    <t>Inventories of services provided by suppliers are maintained</t>
  </si>
  <si>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t>
  </si>
  <si>
    <t>Supplier list along with the services provided them</t>
  </si>
  <si>
    <t>ID.AM-05</t>
  </si>
  <si>
    <t>Assets are prioritized based on classification, criticality, resources, and impact on the mission</t>
  </si>
  <si>
    <t>Ex1: Define criteria for prioritizing each class of assets
Ex2: Apply the prioritization criteria to assets
Ex3: Track the asset priorities and update them periodically or when significant changes to the organization occur</t>
  </si>
  <si>
    <t>1. Asset Classification policy
2. List of key critical assets</t>
  </si>
  <si>
    <t>ID.AM-07</t>
  </si>
  <si>
    <t>Inventories of data and corresponding metadata for designated data types are maintained</t>
  </si>
  <si>
    <t>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</si>
  <si>
    <t>Data inventory/register identifying designated data types, relevant systems/repositories, data classification/sensitivity and applicable data ownership.</t>
  </si>
  <si>
    <t>ID.AM-08</t>
  </si>
  <si>
    <t>Systems, hardware, software, services, and data are managed throughout their life cycles</t>
  </si>
  <si>
    <t>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</si>
  <si>
    <t>1. Asset/system/data lifecycle management policy or procedure covering acquisition, deployment, maintenance, modification and retirement/decommissioning.
2. Evidence of lifecycle management activities for representative assets/systems.</t>
  </si>
  <si>
    <t>Risk Assessment (ID.RA)</t>
  </si>
  <si>
    <t>ID.RA-01</t>
  </si>
  <si>
    <t>Vulnerabilities in assets are identified, validated, and recorded</t>
  </si>
  <si>
    <t>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</si>
  <si>
    <t xml:space="preserve">1. Vulnerability Identification Process
2. Vulnerability records
</t>
  </si>
  <si>
    <t>ID.RA-02</t>
  </si>
  <si>
    <t>Cyber threat intelligence is received from information sharing forums and sources</t>
  </si>
  <si>
    <t>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</si>
  <si>
    <t>1. Channel to establish communicationto receive threat intelligence
2. Evidence of threat intelligence</t>
  </si>
  <si>
    <t>ID.RA-03</t>
  </si>
  <si>
    <t>Internal and external threats to the organization are identified and recorded</t>
  </si>
  <si>
    <t>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</si>
  <si>
    <t>Threat identification methodology/process and representative threat assessments, threat scenarios or threat intelligence outputs used to identify relevant threats.</t>
  </si>
  <si>
    <t>ID.RA-04</t>
  </si>
  <si>
    <t>Potential impacts and likelihoods of threats exploiting vulnerabilities are identified and recorded</t>
  </si>
  <si>
    <t>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</si>
  <si>
    <t>1. Process to calculate impact and likelihood of threats
2. Evidence impact and likelihood identification</t>
  </si>
  <si>
    <t>ID.RA-05</t>
  </si>
  <si>
    <t>Threats, vulnerabilities, likelihoods, and impacts are used to understand inherent risk and inform risk response prioritization</t>
  </si>
  <si>
    <t>Ex1: Develop threat models to better understand risks to the data and identify appropriate risk responses
Ex2: Prioritize cyberSecurity resource allocations and investments based on estimated likelihoods and impacts</t>
  </si>
  <si>
    <t xml:space="preserve">Risk Prioritization Matrix/Critria to calculate risk severity </t>
  </si>
  <si>
    <t>ID.RA-06</t>
  </si>
  <si>
    <t>Risk responses are chosen, prioritized, planned, tracked, and communicated</t>
  </si>
  <si>
    <t>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</si>
  <si>
    <t>Evidence showing the risk response is chosen, prioritized, tracked and communicated</t>
  </si>
  <si>
    <t>ID.RA-07</t>
  </si>
  <si>
    <t>Changes and exceptions are managed, assessed for risk impact, recorded, and tracked</t>
  </si>
  <si>
    <t>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</si>
  <si>
    <t>Process to assess risk related to exceptions and changes
Evidence showing risk impact assessment before change.</t>
  </si>
  <si>
    <t>ID.RA-08</t>
  </si>
  <si>
    <t>Processes for receiving, analyzing, and responding to vulnerability disclosures are established</t>
  </si>
  <si>
    <t>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</si>
  <si>
    <t>Process/Policy to receive communication regarding vulnerabilities discovered, analyzing and resonding to vulnerabilities.</t>
  </si>
  <si>
    <t>ID.RA-09</t>
  </si>
  <si>
    <t>The authenticity and integrity of hardware and software are assessed prior to acquisition and use</t>
  </si>
  <si>
    <t>Ex1: Assess the authenticity and cyberSecurity of critical technology products and services prior to acquisition and use</t>
  </si>
  <si>
    <t>1. Process/criteria for assessing the authenticity and integrity of hardware/software before acquisition and use.
2. Sample supplier/product assessment records demonstrating execution of the process.</t>
  </si>
  <si>
    <t>ID.RA-10</t>
  </si>
  <si>
    <t>Critical suppliers are assessed prior to acquisition</t>
  </si>
  <si>
    <t>Ex1: Conduct supplier risk assessments against business and applicable cyberSecurity requirements, including the supply chain</t>
  </si>
  <si>
    <t xml:space="preserve">1. Supply chain risk management policy
2. Identification and prioritization of suppliers
3. Evidence of supplier assessment before acquisition
</t>
  </si>
  <si>
    <t>Improvement (ID.IM)</t>
  </si>
  <si>
    <t>ID.IM-01</t>
  </si>
  <si>
    <t>Improvements are identified from evaluations</t>
  </si>
  <si>
    <t>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</si>
  <si>
    <t>Evidence of independent reviews and audits</t>
  </si>
  <si>
    <t>ID.IM-02</t>
  </si>
  <si>
    <t>Improvements are identified from Security tests and exercises, including those done in coordination with suppliers and relevant third parties</t>
  </si>
  <si>
    <t>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</si>
  <si>
    <t>Evidence of independent reviews and audits in cordination with suppliers and third parties</t>
  </si>
  <si>
    <t>ID.IM-03</t>
  </si>
  <si>
    <t>Improvements are identified from execution of operational processes, procedures, and activities</t>
  </si>
  <si>
    <t>Ex1: Conduct collaborative lessons learned sessions with suppliers
Ex2: Annually review cyberSecurity policies, processes, and procedures to take lessons learned into account
Ex3: Use metrics to assess operational cyberSecurity performance over time</t>
  </si>
  <si>
    <t>Evidences of mock drill and simulation exercises to identify the gaps</t>
  </si>
  <si>
    <t>ID.IM-04</t>
  </si>
  <si>
    <t>Incident response plans and other cyberSecurity plans that affect operations are established, communicated, maintained, and improved</t>
  </si>
  <si>
    <t>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</si>
  <si>
    <t xml:space="preserve">Incident Response Paln and its reviews </t>
  </si>
  <si>
    <t>PROTECT (PR)</t>
  </si>
  <si>
    <t>Identity Management, Authentication, and Access Control (PR.AA)</t>
  </si>
  <si>
    <t>PR.AA-01</t>
  </si>
  <si>
    <t>Identities and credentials for authorized users, services, and hardware are managed by the organization</t>
  </si>
  <si>
    <t>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</si>
  <si>
    <t xml:space="preserve">1. Access Management policy depicting authentication and authorization mechanism
2. Evidence of authntication, authorization and credential management
</t>
  </si>
  <si>
    <t>PR.AA-02</t>
  </si>
  <si>
    <t>Identities are proofed and bound to credentials based on the context of interactions</t>
  </si>
  <si>
    <t>Ex1: Verify a person's claimed identity at enrollment time using government-issued identity credentials (e.g., passport, visa, driver's license)
Ex2: Issue a different credential for each person (i.e., no credential sharing)</t>
  </si>
  <si>
    <t>1. Access control/authorization policy and procedures.
2. IAM/access-control configuration demonstrating enforcement of authorized access.
3. Representative access approval/authorization records, where applicable.</t>
  </si>
  <si>
    <t>PR.AA-03</t>
  </si>
  <si>
    <t>Users, services, and hardware are authenticated</t>
  </si>
  <si>
    <t>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</si>
  <si>
    <t>Evidences for authentication mechanism</t>
  </si>
  <si>
    <t>PR.AA-04</t>
  </si>
  <si>
    <t>Identity assertions are protected, conveyed, and verified</t>
  </si>
  <si>
    <t>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</si>
  <si>
    <t>1. Process/configuration for managing and validating identity assertions used for access decisions.
2. Relevant IAM/federation/authentication configuration or architecture evidence.
3. Representative evidence demonstrating verification of identity information before granting access, where applicable.</t>
  </si>
  <si>
    <t>PR.AA-05</t>
  </si>
  <si>
    <t>Access permissions, entitlements, and authorizations are defined in a policy, managed, enforced, and reviewed, and incorporate the principles of least privilege and separation of duties</t>
  </si>
  <si>
    <t>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</si>
  <si>
    <t>Access Management Policy depicting the use of principle of least privileges and separation of duties
Evidence of periodic access review</t>
  </si>
  <si>
    <t>PR.AA-06</t>
  </si>
  <si>
    <t>Physical access to assets is managed, monitored, and enforced commensurate with risk</t>
  </si>
  <si>
    <t>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</si>
  <si>
    <t>Physical Security/access control policy and representative evidence of physical access controls and monitoring, where applicable.</t>
  </si>
  <si>
    <t>Awareness and Training (PR.AT)</t>
  </si>
  <si>
    <t>PR.AT-01</t>
  </si>
  <si>
    <t>Personnel are provided with awareness and training so that they possess the knowledge and skills to perform general tasks with cyberSecurity risks in mind</t>
  </si>
  <si>
    <t>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</si>
  <si>
    <t>Awareness &amp; Training Policy, 
Inclusion of awareness &amp; training in KPIs</t>
  </si>
  <si>
    <t>PR.AT-02</t>
  </si>
  <si>
    <t>Individuals in specialized roles are provided with awareness and training so that they possess the knowledge and skills to perform relevant tasks with cyberSecurity risks in mind</t>
  </si>
  <si>
    <t>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</si>
  <si>
    <t>Awareness &amp; Training Policy, 
Inclusion of role specific awareness &amp; training in KPIs
Sample role specific KPIs</t>
  </si>
  <si>
    <t>Data Security (PR.DS)</t>
  </si>
  <si>
    <t>PR.DS-01</t>
  </si>
  <si>
    <t>The confidentiality, integrity, and availability of data-at-rest are protected</t>
  </si>
  <si>
    <t>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</si>
  <si>
    <t>Data Classification policy, showing when to apply encryption and other technical controls for data at rest.
Representative technical/configuration evidence demonstrating implementation of applicable protection mechanisms.</t>
  </si>
  <si>
    <t>PR.DS-02</t>
  </si>
  <si>
    <t>The confidentiality, integrity, and availability of data-in-transit are protected</t>
  </si>
  <si>
    <t>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</si>
  <si>
    <t>Data Classification policy, showing when to apply encryption and other technical controls for data in transit
Representative technical/configuration evidence demonstrating implementation of applicable protection mechanisms.</t>
  </si>
  <si>
    <t>PR.DS-10</t>
  </si>
  <si>
    <t>The confidentiality, integrity, and availability of data-in-use are protected</t>
  </si>
  <si>
    <t>Ex1: Remove data that must remain confidential (e.g., from processors and memory) as soon as it is no longer needed
Ex2: Protect data in use from access by other users and processes of the same platform</t>
  </si>
  <si>
    <t>Data Classification policy, showing when to apply encryption and other technical controls for data in use
Representative technical/configuration evidence demonstrating implementation of applicable protection mechanisms.</t>
  </si>
  <si>
    <t>PR.DS-11</t>
  </si>
  <si>
    <t>Backups of data are created, protected, maintained, and tested</t>
  </si>
  <si>
    <t>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</si>
  <si>
    <t xml:space="preserve">Evidences of data backup and its testing </t>
  </si>
  <si>
    <t>Platform Security (PR.PS)</t>
  </si>
  <si>
    <t>PR.PS-01</t>
  </si>
  <si>
    <t>Configuration management practices are established and applied</t>
  </si>
  <si>
    <t>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</si>
  <si>
    <t>1. Configuration management policy/procedure or configuration baseline standards.
2. Approved configuration baselines for representative critical systems.
3. Evidence that configuration changes are controlled, reviewed and maintained.</t>
  </si>
  <si>
    <t>IT Operations</t>
  </si>
  <si>
    <t>PR.PS-02</t>
  </si>
  <si>
    <t>Software is maintained, replaced, and removed commensurate with risk</t>
  </si>
  <si>
    <t>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</si>
  <si>
    <t>Evidences of patching, updating and replacement of softwares with repsect to risk</t>
  </si>
  <si>
    <t>PR.PS-03</t>
  </si>
  <si>
    <t>Hardware is maintained, replaced, and removed commensurate with risk</t>
  </si>
  <si>
    <t>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</si>
  <si>
    <t>Evidences of maintaing and replacement of hardwares with respect to risk</t>
  </si>
  <si>
    <t>PR.PS-04</t>
  </si>
  <si>
    <t>Log records are generated and made available for continuous monitoring</t>
  </si>
  <si>
    <t>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</si>
  <si>
    <t>Evidence that critical systems generate relevant Security events and make those events available for monitoring.</t>
  </si>
  <si>
    <t>PR.PS-05</t>
  </si>
  <si>
    <t>Installation and execution of unauthorized software are prevented</t>
  </si>
  <si>
    <t>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</si>
  <si>
    <t>Evidence ad mechanism to use organization approved softwares only</t>
  </si>
  <si>
    <t>PR.PS-06</t>
  </si>
  <si>
    <t>Secure software development practices are integrated, and their performance is monitored throughout the software development life cycle</t>
  </si>
  <si>
    <t>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</si>
  <si>
    <t>Evidence of secure software development/Security engineering practices integrated into the software development lifecycle, including relevant Security requirements, code review/testing and Security validation activities.</t>
  </si>
  <si>
    <t>Engineering</t>
  </si>
  <si>
    <t>Technology Infrastructure Resilience (PR.IR)</t>
  </si>
  <si>
    <t>PR.IR-01</t>
  </si>
  <si>
    <t>Networks and environments are protected from unauthorized logical access and usage</t>
  </si>
  <si>
    <t>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</si>
  <si>
    <t>Evidence of technical mechanisms protecting systems and infrastructure against unauthorized logical access, including relevant access-control, network Security and boundary protection configurations.</t>
  </si>
  <si>
    <t>PR.IR-02</t>
  </si>
  <si>
    <t>The organization's technology assets are protected from environmental threats</t>
  </si>
  <si>
    <t>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</si>
  <si>
    <t>Prevention mechanism to protec asset from environmental threats</t>
  </si>
  <si>
    <t>PR.IR-03</t>
  </si>
  <si>
    <t>Mechanisms are implemented to achieve resilience requirements in normal and adverse situations</t>
  </si>
  <si>
    <t>Ex1: Avoid single points of failure in systems and infrastructure
Ex2: Use load balancing to increase capacity and improve reliability
Ex3: Use high-availability components like redundant storage and power supplies to improve system reliability</t>
  </si>
  <si>
    <t>1. Resilience/continuity design or architecture for critical technology infrastructure.
2. Evidence of redundancy/failover/resilience mechanisms for critical infrastructure.
3. Relevant resilience/failover test results, where available.</t>
  </si>
  <si>
    <t>PR.IR-04</t>
  </si>
  <si>
    <t>Adequate resource capacity to ensure availability is maintained</t>
  </si>
  <si>
    <t>Ex1: Monitor usage of storage, power, compute, network bandwidth, and other resources
Ex2: Forecast future needs, and scale resources accordingly</t>
  </si>
  <si>
    <t>Evidence for high availability mechanism</t>
  </si>
  <si>
    <t>DETECT (DE)</t>
  </si>
  <si>
    <t>Continuous Monitoring (DE.CM)</t>
  </si>
  <si>
    <t>DE.CM-01</t>
  </si>
  <si>
    <t>Networks and network services are monitored to find potentially adverse events</t>
  </si>
  <si>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t>
  </si>
  <si>
    <t>Evidence demonstrating continuous monitoring of network communications and network services, including monitoring coverage and representative monitoring records/alerts.</t>
  </si>
  <si>
    <t>MSSP</t>
  </si>
  <si>
    <t>DE.CM-02</t>
  </si>
  <si>
    <t>The physical environment is monitored to find potentially adverse events</t>
  </si>
  <si>
    <t>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t>
  </si>
  <si>
    <t>Physical Security monitoring policy/procedure and representative evidence of monitoring and/or physical Security events, where applicable.</t>
  </si>
  <si>
    <t>DE.CM-03</t>
  </si>
  <si>
    <t>Personnel activity and technology usage are monitored to find potentially adverse events</t>
  </si>
  <si>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t>
  </si>
  <si>
    <t>Evidence of monitoring relevant user/personnel activity and technology activity for cyberSecurity events, including applicable monitoring mechanisms and representative alerts/records.</t>
  </si>
  <si>
    <t>DE.CM-06</t>
  </si>
  <si>
    <t>External service provider activities and services are monitored to find potentially adverse events</t>
  </si>
  <si>
    <t>Ex1: Monitor remote and onsite administration and maintenance activities that external providers perform on organizational systems
Ex2: Monitor activity from cloud-based services, internet service providers, and other service providers for deviations from expected behavior</t>
  </si>
  <si>
    <t>Evidence demonstrating monitoring of relevant external service providers/services, including monitoring coverage, alerts/events and MSSP reporting where applicable.</t>
  </si>
  <si>
    <t>DE.CM-09</t>
  </si>
  <si>
    <t>Computing hardware and software, runtime environments, and their data are monitored to find potentially adverse events</t>
  </si>
  <si>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t>
  </si>
  <si>
    <t>MSSP policy and evidence showing monitoring logs for hardware, software, run time environmentsand data+monitoring coverage/matrix + representative monitoring evidence.</t>
  </si>
  <si>
    <t>Adverse Event Analysis (DE.AE)</t>
  </si>
  <si>
    <t>DE.AE-02</t>
  </si>
  <si>
    <t>Potentially adverse events are analyzed to better understand associated activities</t>
  </si>
  <si>
    <t>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t>
  </si>
  <si>
    <t>Evidences for log analysis and analysis procedure</t>
  </si>
  <si>
    <t>DE.AE-03</t>
  </si>
  <si>
    <t>Information is correlated from multiple sources</t>
  </si>
  <si>
    <t>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t>
  </si>
  <si>
    <t>Evidence showing logs collected from multiple servers</t>
  </si>
  <si>
    <t>DE.AE-04</t>
  </si>
  <si>
    <t>The estimated impact and scope of adverse events are understood</t>
  </si>
  <si>
    <t>Ex1: Use SIEMs or other tools to estimate impact and scope, and review and refine the estimates
Ex2: A person creates their own estimates of impact and scope</t>
  </si>
  <si>
    <t>Procedure for impact and scope analysis</t>
  </si>
  <si>
    <t>DE.AE-06</t>
  </si>
  <si>
    <t>Information on adverse events is provided to authorized staff and tools</t>
  </si>
  <si>
    <t>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t>
  </si>
  <si>
    <t>Communication channel between organization and MSSP.
Evidence of continuous information sharing</t>
  </si>
  <si>
    <t>DE.AE-07</t>
  </si>
  <si>
    <t>Cyber threat intelligence and other contextual information are integrated into the analysis</t>
  </si>
  <si>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t>
  </si>
  <si>
    <t>Procedure to integrate threat intelligence in analysis</t>
  </si>
  <si>
    <t>DE.AE-08</t>
  </si>
  <si>
    <t>Incidents are declared when adverse events meet the defined incident criteria</t>
  </si>
  <si>
    <t>Ex1: Apply incident criteria to known and assumed characteristics of activity in order to determine whether an incident should be declared
Ex2: Take known false positives into account when applying incident criteria</t>
  </si>
  <si>
    <t>Incident criteria document</t>
  </si>
  <si>
    <t>RESPOND (RS)</t>
  </si>
  <si>
    <t>Incident Management (RS.MA)</t>
  </si>
  <si>
    <t>RS.MA-01</t>
  </si>
  <si>
    <t>The incident response plan is executed in coordination with relevant third parties once an incident is declared</t>
  </si>
  <si>
    <t>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t>
  </si>
  <si>
    <t>Incident Response paln</t>
  </si>
  <si>
    <t>RS.MA-02</t>
  </si>
  <si>
    <t>Incident reports are triaged and validated</t>
  </si>
  <si>
    <t>Ex1: Preliminarily review incident reports to confirm that they are cyberSecurity-related and necessitate incident response activities
Ex2: Apply criteria to estimate the severity of an incident</t>
  </si>
  <si>
    <t>Documented Incident Response Process</t>
  </si>
  <si>
    <t>RS.MA-03</t>
  </si>
  <si>
    <t>Incidents are categorized and prioritized</t>
  </si>
  <si>
    <t>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</si>
  <si>
    <t>Incident classification adnd priritization criteria</t>
  </si>
  <si>
    <t>RS.MA-04</t>
  </si>
  <si>
    <t>Incidents are escalated or elevated as needed</t>
  </si>
  <si>
    <t>Ex1: Track and validate the status of all ongoing incidents
Ex2: Coordinate incident escalation or elevation with designated internal and external stakeholders</t>
  </si>
  <si>
    <t>Criteria for inccident escalation, Escalation matrix</t>
  </si>
  <si>
    <t>RS.MA-05</t>
  </si>
  <si>
    <t>The criteria for initiating incident recovery are applied</t>
  </si>
  <si>
    <t>Ex1: Apply incident recovery criteria to known and assumed characteristics of the incident to determine whether incident recovery processes should be initiated
Ex2: Take the possible operational disruption of incident recovery activities into account</t>
  </si>
  <si>
    <t>Incideny Recovvery criteria</t>
  </si>
  <si>
    <t>Incident Analysis (RS.AN)</t>
  </si>
  <si>
    <t>RS.AN-03</t>
  </si>
  <si>
    <t>Analysis is performed to establish what has taken place during an incident and the root cause of the incident</t>
  </si>
  <si>
    <t>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</si>
  <si>
    <t>Evidence of incident investigation and analysis procedures and records demonstrating collection/correlation of relevant information to determine incident characteristics, scope and/or cause, as applicable.</t>
  </si>
  <si>
    <t>RS.AN-06</t>
  </si>
  <si>
    <t>Actions performed during an investigation are recorded, and the records' integrity and provenance are preserved</t>
  </si>
  <si>
    <t>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</si>
  <si>
    <t>Logs/evidences for investigation/analysis</t>
  </si>
  <si>
    <t>RS.AN-07</t>
  </si>
  <si>
    <t>Incident data and metadata are collected, and their integrity and provenance are preserved</t>
  </si>
  <si>
    <t>Ex1: Collect, preserve, and safeguard the integrity of all pertinent incident data and metadata (e.g., data source, date/time of collection) based on evidence preservation and chain-of-custody procedures</t>
  </si>
  <si>
    <t>Evidence for Incident metada</t>
  </si>
  <si>
    <t>RS.AN-08</t>
  </si>
  <si>
    <t>An incident's magnitude is estimated and validated</t>
  </si>
  <si>
    <t>Ex1: Review other potential targets of the incident to search for indicators of compromise and evidence of persistence
Ex2: Automatically run tools on targets to look for indicators of compromise and evidence of persistence</t>
  </si>
  <si>
    <t>Incident Analysis report conaing impact of the incidence</t>
  </si>
  <si>
    <t>Incident Response Reporting and Communication (RS.CO)</t>
  </si>
  <si>
    <t>RS.CO-02</t>
  </si>
  <si>
    <t>Internal and external stakeholders are notified of incidents</t>
  </si>
  <si>
    <t>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</si>
  <si>
    <t>Communication channel between organization and stakeholders for incidence communication
Evidence of incident initial communication</t>
  </si>
  <si>
    <t>RS.CO-03</t>
  </si>
  <si>
    <t>Information is shared with designated internal and external stakeholders</t>
  </si>
  <si>
    <t>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</si>
  <si>
    <t>Communication channel between organization and stakeholders for incidence communication
Evidence of communication made regarding actions taken and progress made</t>
  </si>
  <si>
    <t>Incident Mitigation (RS.MI)</t>
  </si>
  <si>
    <t>RS.MI-01</t>
  </si>
  <si>
    <t>Incidents are contained</t>
  </si>
  <si>
    <t>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</si>
  <si>
    <t>Incident Containment report</t>
  </si>
  <si>
    <t>RS.MI-02</t>
  </si>
  <si>
    <t>Incidents are eradicated</t>
  </si>
  <si>
    <t>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</si>
  <si>
    <t xml:space="preserve">Evidence and verification logs of incidence removal </t>
  </si>
  <si>
    <t>RECOVER (RC)</t>
  </si>
  <si>
    <t>Incident Recovery Plan Execution (RC.RP)</t>
  </si>
  <si>
    <t>RC.RP-01</t>
  </si>
  <si>
    <t>The recovery portion of the incident response plan is executed once initiated from the incident response process</t>
  </si>
  <si>
    <t>Ex1: Begin recovery procedures during or after incident response processes
Ex2: Make all individuals with recovery responsibilities aware of the plans for recovery and the authorizations required to implement each aspect of the plans</t>
  </si>
  <si>
    <t>Incident Revcovery paln</t>
  </si>
  <si>
    <t>RC.RP-02</t>
  </si>
  <si>
    <t>Recovery actions are selected, scoped, prioritized, and performed</t>
  </si>
  <si>
    <t>Ex1: Select recovery actions based on the criteria defined in the incident response plan and available resources
Ex2: Change planned recovery actions based on a reassessment of organizational needs and resources</t>
  </si>
  <si>
    <t>Documented recovery prcedure</t>
  </si>
  <si>
    <t>RC.RP-03</t>
  </si>
  <si>
    <t>The integrity of backups and other restoration assets is verified before using them for restoration</t>
  </si>
  <si>
    <t>Ex1: Check restoration assets for indicators of compromise, file corruption, and other integrity issues before use</t>
  </si>
  <si>
    <t>Evidence for back up verification and its frequency</t>
  </si>
  <si>
    <t>RC.RP-04</t>
  </si>
  <si>
    <t>Critical mission functions and cyberSecurity risk management are considered to establish post-incident operational norms</t>
  </si>
  <si>
    <t>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</si>
  <si>
    <t>1. Recovery status/validation records for representative recovery activities or exercises.
2. Evidence demonstrating validation of restored services/systems against defined recovery requirements.
3. Recovery test/exercise results and resulting corrective actions, where applicable.</t>
  </si>
  <si>
    <t>RC.RP-05</t>
  </si>
  <si>
    <t>The integrity of restored assets is verified, systems and services are restored, and normal operating status is confirmed</t>
  </si>
  <si>
    <t>Ex1: Check restored assets for indicators of compromise and remediation of root causes of the incident before production use
Ex2: Verify the correctness and adequacy of the restoration actions taken before putting a restored system online</t>
  </si>
  <si>
    <t>Logs or evidence of testinbg after restoration of assets</t>
  </si>
  <si>
    <t>RC.RP-06</t>
  </si>
  <si>
    <t>The end of incident recovery is declared based on criteria, and incident-related documentation is completed</t>
  </si>
  <si>
    <t>Ex1: Prepare an after-action report that documents the incident itself, the response and recovery actions taken, and lessons learned
Ex2: Declare the end of incident recovery once the criteria are met</t>
  </si>
  <si>
    <t>Criteria of end of incident declaration</t>
  </si>
  <si>
    <t>Incident Recovery Communication (RC.CO)</t>
  </si>
  <si>
    <t>RC.CO-03</t>
  </si>
  <si>
    <t>Recovery activities and progress in restoring operational capabilities are communicated to designated internal and external stakeholders</t>
  </si>
  <si>
    <t>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</si>
  <si>
    <t>Eviences of communication with stakeholders during recovery process</t>
  </si>
  <si>
    <t>RC.CO-04</t>
  </si>
  <si>
    <t>Public updates on incident recovery are shared using approved methods and messaging</t>
  </si>
  <si>
    <t>Ex1: Follow the organization's breach notification procedures for recovering from a data breach incident
Ex2: Explain the steps being taken to recover from the incident and to prevent a recurrence</t>
  </si>
  <si>
    <t>Eviences of communication with public during recovery process</t>
  </si>
  <si>
    <t>Not Started</t>
  </si>
  <si>
    <t>Evidence Requested</t>
  </si>
  <si>
    <t>In Progress</t>
  </si>
  <si>
    <t>Partially Submitted</t>
  </si>
  <si>
    <t>Submitted</t>
  </si>
  <si>
    <t>Under Review</t>
  </si>
  <si>
    <t>Clarification Required</t>
  </si>
  <si>
    <t>Revision Requested</t>
  </si>
  <si>
    <t>Accepted</t>
  </si>
  <si>
    <t>Not Available</t>
  </si>
  <si>
    <t>Not Applicable</t>
  </si>
  <si>
    <t>Governing evidence</t>
  </si>
  <si>
    <t>Implementation evidence</t>
  </si>
  <si>
    <t>Operating evidence</t>
  </si>
  <si>
    <t>Effectiveness evidence</t>
  </si>
  <si>
    <t>Policy / standard / approved criteria.</t>
  </si>
  <si>
    <t>Configuration / procedure / workflow / architecture.</t>
  </si>
  <si>
    <t>Records / tickets / logs  / reports / samples</t>
  </si>
  <si>
    <t>esting / monitoring / metrics / review / remediation.</t>
  </si>
  <si>
    <t>What establishes the requirement?</t>
  </si>
  <si>
    <t>How has Northstar implemented it?</t>
  </si>
  <si>
    <t>Show me that it actually happens.</t>
  </si>
  <si>
    <t>How does Northstar know it works?</t>
  </si>
  <si>
    <t>Gap Score</t>
  </si>
  <si>
    <t>Gap Analysis</t>
  </si>
  <si>
    <t>Partial</t>
  </si>
  <si>
    <t>Repeatable</t>
  </si>
  <si>
    <t>Adaptive</t>
  </si>
  <si>
    <t>Risk Informed</t>
  </si>
  <si>
    <t>Mission Statement/Document not provided</t>
  </si>
  <si>
    <t>Customers and their legal/regulatory requirements are not listed</t>
  </si>
  <si>
    <t>Legal, regulatory and contractual requirements of the organization are not listed</t>
  </si>
  <si>
    <t>Centralized inventory of all the critical services and assets should be defined</t>
  </si>
  <si>
    <t>organization is aware about the dependencies but centralized inventory is not maintained</t>
  </si>
  <si>
    <t>Risk Management objectives are defined in the Risk Management policy</t>
  </si>
  <si>
    <t>Enterprise risk register consist of cyber security risk</t>
  </si>
  <si>
    <t>Risk response options are mentioned in Risk Management policy</t>
  </si>
  <si>
    <t>No clear evidence regarding established lines of communication</t>
  </si>
  <si>
    <t>Risk Apetitie is defined in Risk Management Policy but Risk Tolerence is not consistently docuemented</t>
  </si>
  <si>
    <t>Policy metioned risk is generally calculated on likelihood and impact; no clear evidence of formal documentation of the process</t>
  </si>
  <si>
    <t>No mention of how organization handles positive risks</t>
  </si>
  <si>
    <t>Periodic reviews are done and risk posture is presented to CIO by CISO</t>
  </si>
  <si>
    <t>Risk owners and other responsibilities are defined and communicated</t>
  </si>
  <si>
    <t>No  evidence on how organization does ensure the resource alllocation</t>
  </si>
  <si>
    <t>Onboarding policy should define the cybersecurity rquirements like mandatory trainings and a process to monitor the training record should be established</t>
  </si>
  <si>
    <t>Risk Management policy is well established</t>
  </si>
  <si>
    <t>Policy is established but no process to manage change/update the policy defined</t>
  </si>
  <si>
    <t>TBD</t>
  </si>
  <si>
    <t>Periodic riskds reviews are done, but no clear evidenvce on comprehensive review of risk management process</t>
  </si>
  <si>
    <t>No supply chain or TPRM policy in place</t>
  </si>
  <si>
    <t>IT team manintains the inventory of laptops and servers only.</t>
  </si>
  <si>
    <t>Engineering maitains inventory of cloud resources only.</t>
  </si>
  <si>
    <t xml:space="preserve">No mention of network dataflow </t>
  </si>
  <si>
    <t>Information is maintained by individual teams, no centralized inventory present.</t>
  </si>
  <si>
    <t xml:space="preserve">Termination procedure exist but no formal policy </t>
  </si>
  <si>
    <t>Incident notification and cooperation requirments mentioned</t>
  </si>
  <si>
    <t>Due diligence is done during onboarding. However, continuous monitoring and risk reporting is missing</t>
  </si>
  <si>
    <t>Procurement performs the due diligence</t>
  </si>
  <si>
    <t>Cyber security risks are included in contratc but only for high risk tech suppliers</t>
  </si>
  <si>
    <t>Critical suppliers are identified for additional security checks</t>
  </si>
  <si>
    <t>No information on asser classification</t>
  </si>
  <si>
    <t>No data inventory present</t>
  </si>
  <si>
    <t>No evidence on asset management</t>
  </si>
  <si>
    <t>Vulnerability scanning is done</t>
  </si>
  <si>
    <t>Threat intelligence is received</t>
  </si>
  <si>
    <t>Done via vulnerability scanning</t>
  </si>
  <si>
    <t>Risk assessment used likelihood and impact ratings</t>
  </si>
  <si>
    <t>No evidence on how risk are assessed for change</t>
  </si>
  <si>
    <t>Process to receive threat intelligence is defiend but evidence on how vulnerability disclosures are being dealt</t>
  </si>
  <si>
    <t>Due diligence is done by procurement before acquisition</t>
  </si>
  <si>
    <t>Due diligence is done</t>
  </si>
  <si>
    <t>Reviews are performed on individual services and control, No evidence of perodic organization wide reviews and audits</t>
  </si>
  <si>
    <t>Third party security reviews are done</t>
  </si>
  <si>
    <t>No mock drill or simulation exercise</t>
  </si>
  <si>
    <t>IRP is present</t>
  </si>
  <si>
    <t>Managed by Identity plateform</t>
  </si>
  <si>
    <t>No evidence of authoration mechanism</t>
  </si>
  <si>
    <t>Authentication is managed by Identity plateform</t>
  </si>
  <si>
    <t>No formal access management policy</t>
  </si>
  <si>
    <t>No evidence on physicall access management</t>
  </si>
  <si>
    <t>No training and awareness policy</t>
  </si>
  <si>
    <t>Data is protected by individual teams</t>
  </si>
  <si>
    <t>Protected by individual teams ; TLS is implemented</t>
  </si>
  <si>
    <t>Secured by cloud provider</t>
  </si>
  <si>
    <t>No evidence on configuation management</t>
  </si>
  <si>
    <t>No significant evidence</t>
  </si>
  <si>
    <t>No evidence</t>
  </si>
  <si>
    <t>Logs captured and forwarded to SIEM but legacy applications are not covered</t>
  </si>
  <si>
    <t>Cloud based firewall in place</t>
  </si>
  <si>
    <t>Mostly managed by cloud service provider</t>
  </si>
  <si>
    <t>Monitored via SIEM</t>
  </si>
  <si>
    <t>Done by security team</t>
  </si>
  <si>
    <t>Legacy applcations are left out</t>
  </si>
  <si>
    <t>Understood by business impact and urgency</t>
  </si>
  <si>
    <t>Communication and escalation is done</t>
  </si>
  <si>
    <t>hreat intelligence is received; no evidence on integration</t>
  </si>
  <si>
    <t>Done as per incident response policy</t>
  </si>
  <si>
    <t>Incients are notified to stakeholders and escalated to management but some follow up actions remain open</t>
  </si>
  <si>
    <t>Incident severity is determined using business impact, affected systems and urgency</t>
  </si>
  <si>
    <t>Escalated to senior management</t>
  </si>
  <si>
    <t>Incident recovery process is in placve but no incident recovery criteria is defined</t>
  </si>
  <si>
    <t>No evidence on RCA</t>
  </si>
  <si>
    <t xml:space="preserve">Criteria is in place to determine incident severity </t>
  </si>
  <si>
    <t>Recoevry plan exist but not consistent</t>
  </si>
  <si>
    <t>Recovery objective are defined</t>
  </si>
  <si>
    <t>Likelihood</t>
  </si>
  <si>
    <t>Score</t>
  </si>
  <si>
    <t>Meaning</t>
  </si>
  <si>
    <t>Description</t>
  </si>
  <si>
    <t>Rare</t>
  </si>
  <si>
    <t>Strong controls, limited exposure, no credible threat path</t>
  </si>
  <si>
    <t>Unlikely</t>
  </si>
  <si>
    <t>Limited exposure and/or effective controls significantly reduce likelihood</t>
  </si>
  <si>
    <t>Possible</t>
  </si>
  <si>
    <t>Credible threat path exists and some control weaknesses are present</t>
  </si>
  <si>
    <t>Likely</t>
  </si>
  <si>
    <t>Significant exposure/control weaknesses make exploitation reasonably plausible</t>
  </si>
  <si>
    <t>Almost Certain</t>
  </si>
  <si>
    <t>Direct exposure, exploitable weakness and/or strong threat activity make occurrence highly probable</t>
  </si>
  <si>
    <t>Insignificant</t>
  </si>
  <si>
    <t>Minor</t>
  </si>
  <si>
    <t>Moderate</t>
  </si>
  <si>
    <t>Major</t>
  </si>
  <si>
    <t>Catastrophic</t>
  </si>
  <si>
    <t>Impact (CIA)</t>
  </si>
  <si>
    <t>Risk Score</t>
  </si>
  <si>
    <t>&gt;20</t>
  </si>
  <si>
    <t>15-20</t>
  </si>
  <si>
    <t>10-14</t>
  </si>
  <si>
    <t>&lt;10</t>
  </si>
  <si>
    <t>Level</t>
  </si>
  <si>
    <t>P1: Critical</t>
  </si>
  <si>
    <t>P2: High</t>
  </si>
  <si>
    <t>P3: Medium</t>
  </si>
  <si>
    <t>P4: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</si>
</sst>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Segoe UI"/>
      <family val="2"/>
    </font>
    <font>
      <sz val="10"/>
      <color theme="1"/>
      <name val="Segoe UI"/>
      <family val="2"/>
    </font>
    <font>
      <b/>
      <sz val="10"/>
      <color theme="1"/>
      <name val="Segoe UI"/>
      <family val="2"/>
    </font>
    <font>
      <sz val="10"/>
      <color theme="1" tint="4.9989318521683403E-2"/>
      <name val="Segoe UI"/>
      <family val="2"/>
    </font>
    <font>
      <b/>
      <sz val="11"/>
      <color theme="1"/>
      <name val="Calibri"/>
      <family val="2"/>
      <scheme val="minor"/>
    </font>
    <font>
      <sz val="12"/>
      <color theme="1"/>
      <name val="Aptos"/>
      <family val="2"/>
    </font>
  </fonts>
  <fills count="9">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6"/>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4">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3" fillId="5" borderId="1" xfId="0" applyFont="1" applyFill="1" applyBorder="1" applyAlignment="1">
      <alignment horizontal="center" vertical="top"/>
    </xf>
    <xf numFmtId="0" fontId="3" fillId="6" borderId="1" xfId="0" applyFont="1" applyFill="1" applyBorder="1" applyAlignment="1">
      <alignment horizontal="center" vertical="top"/>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xf>
    <xf numFmtId="0" fontId="2"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1" fillId="8" borderId="1" xfId="0" applyFont="1" applyFill="1" applyBorder="1" applyAlignment="1">
      <alignment vertical="center" wrapText="1"/>
    </xf>
    <xf numFmtId="0" fontId="3" fillId="8" borderId="1" xfId="0" applyFont="1" applyFill="1" applyBorder="1" applyAlignment="1">
      <alignment horizontal="center" vertical="top"/>
    </xf>
    <xf numFmtId="0" fontId="0" fillId="0" borderId="0" xfId="0" applyAlignment="1">
      <alignment horizontal="center"/>
    </xf>
    <xf numFmtId="0" fontId="2" fillId="0" borderId="0" xfId="0" applyFont="1" applyAlignment="1">
      <alignment horizontal="center" vertical="top" wrapText="1"/>
    </xf>
    <xf numFmtId="0" fontId="3" fillId="8" borderId="1" xfId="0" applyFont="1" applyFill="1" applyBorder="1" applyAlignment="1">
      <alignment horizontal="center" vertical="top"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1" xfId="0" applyBorder="1"/>
    <xf numFmtId="0" fontId="6" fillId="0" borderId="1" xfId="0" applyFont="1" applyBorder="1" applyAlignment="1">
      <alignment horizontal="center" vertical="center" wrapText="1"/>
    </xf>
    <xf numFmtId="49" fontId="0" fillId="0" borderId="1" xfId="0" applyNumberFormat="1" applyBorder="1"/>
    <xf numFmtId="0" fontId="5" fillId="0" borderId="0" xfId="0" applyFont="1" applyAlignment="1">
      <alignment horizontal="center"/>
    </xf>
    <xf numFmtId="0" fontId="0" fillId="0" borderId="0" xfId="0" applyAlignment="1">
      <alignment horizontal="center"/>
    </xf>
    <xf numFmtId="0" fontId="5" fillId="0" borderId="6" xfId="0" applyFont="1" applyBorder="1" applyAlignment="1">
      <alignment horizontal="center"/>
    </xf>
    <xf numFmtId="0" fontId="0" fillId="0" borderId="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8"/>
  <sheetViews>
    <sheetView tabSelected="1" topLeftCell="N1" zoomScale="70" zoomScaleNormal="70" workbookViewId="0">
      <pane ySplit="2" topLeftCell="A3" activePane="bottomLeft" state="frozen"/>
      <selection activeCell="C1" sqref="C1"/>
      <selection pane="bottomLeft" activeCell="AB5" sqref="AB5"/>
    </sheetView>
  </sheetViews>
  <sheetFormatPr defaultRowHeight="16" x14ac:dyDescent="0.35"/>
  <cols>
    <col min="1" max="1" width="15.81640625" style="8" hidden="1" customWidth="1"/>
    <col min="2" max="2" width="21.1796875" style="8" hidden="1" customWidth="1"/>
    <col min="3" max="3" width="15.1796875" style="8" customWidth="1"/>
    <col min="4" max="4" width="57.08984375" style="9" customWidth="1"/>
    <col min="5" max="5" width="59.26953125" style="8" hidden="1" customWidth="1"/>
    <col min="6" max="6" width="33.26953125" style="8" customWidth="1"/>
    <col min="7" max="7" width="20.36328125" style="8" customWidth="1"/>
    <col min="8" max="9" width="21.36328125" style="8" hidden="1" customWidth="1"/>
    <col min="10" max="10" width="23.453125" style="8" hidden="1" customWidth="1"/>
    <col min="11" max="11" width="20.26953125" style="8" customWidth="1"/>
    <col min="12" max="12" width="20.26953125" style="10" customWidth="1"/>
    <col min="13" max="13" width="15.7265625" style="9" customWidth="1"/>
    <col min="14" max="15" width="20" style="10" customWidth="1"/>
    <col min="16" max="16" width="26.54296875" style="17" customWidth="1"/>
    <col min="17" max="17" width="18.453125" customWidth="1"/>
  </cols>
  <sheetData>
    <row r="1" spans="1:16" x14ac:dyDescent="0.35">
      <c r="H1" s="4"/>
    </row>
    <row r="2" spans="1:16" ht="33" customHeight="1" x14ac:dyDescent="0.35">
      <c r="A2" s="1" t="s">
        <v>0</v>
      </c>
      <c r="B2" s="1" t="s">
        <v>1</v>
      </c>
      <c r="C2" s="1" t="s">
        <v>2</v>
      </c>
      <c r="D2" s="1" t="s">
        <v>3</v>
      </c>
      <c r="E2" s="1" t="s">
        <v>4</v>
      </c>
      <c r="F2" s="1" t="s">
        <v>5</v>
      </c>
      <c r="G2" s="1" t="s">
        <v>6</v>
      </c>
      <c r="H2" s="1" t="s">
        <v>7</v>
      </c>
      <c r="I2" s="1" t="s">
        <v>8</v>
      </c>
      <c r="J2" s="1" t="s">
        <v>9</v>
      </c>
      <c r="K2" s="2" t="s">
        <v>11</v>
      </c>
      <c r="L2" s="2" t="s">
        <v>10</v>
      </c>
      <c r="M2" s="3" t="s">
        <v>13</v>
      </c>
      <c r="N2" s="3" t="s">
        <v>12</v>
      </c>
      <c r="O2" s="14" t="s">
        <v>498</v>
      </c>
      <c r="P2" s="14" t="s">
        <v>499</v>
      </c>
    </row>
    <row r="3" spans="1:16" ht="48" customHeight="1" x14ac:dyDescent="0.35">
      <c r="A3" s="4" t="s">
        <v>14</v>
      </c>
      <c r="B3" s="4" t="s">
        <v>15</v>
      </c>
      <c r="C3" s="4" t="s">
        <v>16</v>
      </c>
      <c r="D3" s="5" t="s">
        <v>17</v>
      </c>
      <c r="E3" s="4" t="s">
        <v>18</v>
      </c>
      <c r="F3" s="11" t="s">
        <v>19</v>
      </c>
      <c r="G3" s="4" t="s">
        <v>20</v>
      </c>
      <c r="I3" s="4"/>
      <c r="J3" s="4"/>
      <c r="K3" s="6">
        <v>1</v>
      </c>
      <c r="L3" s="6" t="s">
        <v>500</v>
      </c>
      <c r="M3" s="7">
        <v>3</v>
      </c>
      <c r="N3" s="7" t="s">
        <v>501</v>
      </c>
      <c r="O3" s="15">
        <f>M3-K3</f>
        <v>2</v>
      </c>
      <c r="P3" s="18" t="s">
        <v>504</v>
      </c>
    </row>
    <row r="4" spans="1:16" ht="112" customHeight="1" x14ac:dyDescent="0.35">
      <c r="A4" s="4" t="s">
        <v>14</v>
      </c>
      <c r="B4" s="4" t="s">
        <v>15</v>
      </c>
      <c r="C4" s="4" t="s">
        <v>21</v>
      </c>
      <c r="D4" s="5" t="s">
        <v>22</v>
      </c>
      <c r="E4" s="4" t="s">
        <v>23</v>
      </c>
      <c r="F4" s="11" t="s">
        <v>24</v>
      </c>
      <c r="G4" s="4" t="s">
        <v>20</v>
      </c>
      <c r="H4" s="4"/>
      <c r="I4" s="4"/>
      <c r="J4" s="4"/>
      <c r="K4" s="6">
        <v>2</v>
      </c>
      <c r="L4" s="6" t="s">
        <v>503</v>
      </c>
      <c r="M4" s="7">
        <v>3</v>
      </c>
      <c r="N4" s="7" t="s">
        <v>501</v>
      </c>
      <c r="O4" s="15">
        <f t="shared" ref="O4:O67" si="0">M4-K4</f>
        <v>1</v>
      </c>
      <c r="P4" s="18" t="s">
        <v>505</v>
      </c>
    </row>
    <row r="5" spans="1:16" ht="176" customHeight="1" x14ac:dyDescent="0.35">
      <c r="A5" s="4" t="s">
        <v>14</v>
      </c>
      <c r="B5" s="4" t="s">
        <v>15</v>
      </c>
      <c r="C5" s="4" t="s">
        <v>25</v>
      </c>
      <c r="D5" s="5" t="s">
        <v>26</v>
      </c>
      <c r="E5" s="4" t="s">
        <v>27</v>
      </c>
      <c r="F5" s="11" t="s">
        <v>28</v>
      </c>
      <c r="G5" s="4" t="s">
        <v>29</v>
      </c>
      <c r="H5" s="4"/>
      <c r="I5" s="4"/>
      <c r="J5" s="4"/>
      <c r="K5" s="6">
        <v>1</v>
      </c>
      <c r="L5" s="6" t="s">
        <v>500</v>
      </c>
      <c r="M5" s="7">
        <v>3</v>
      </c>
      <c r="N5" s="7" t="s">
        <v>501</v>
      </c>
      <c r="O5" s="15">
        <f t="shared" si="0"/>
        <v>2</v>
      </c>
      <c r="P5" s="18" t="s">
        <v>506</v>
      </c>
    </row>
    <row r="6" spans="1:16" ht="144" customHeight="1" x14ac:dyDescent="0.35">
      <c r="A6" s="4" t="s">
        <v>14</v>
      </c>
      <c r="B6" s="4" t="s">
        <v>15</v>
      </c>
      <c r="C6" s="4" t="s">
        <v>30</v>
      </c>
      <c r="D6" s="5" t="s">
        <v>31</v>
      </c>
      <c r="E6" s="4" t="s">
        <v>32</v>
      </c>
      <c r="F6" s="11" t="s">
        <v>33</v>
      </c>
      <c r="G6" s="4" t="s">
        <v>34</v>
      </c>
      <c r="H6" s="4"/>
      <c r="I6" s="4"/>
      <c r="J6" s="4"/>
      <c r="K6" s="6">
        <v>2</v>
      </c>
      <c r="L6" s="6" t="s">
        <v>503</v>
      </c>
      <c r="M6" s="7">
        <v>3</v>
      </c>
      <c r="N6" s="7" t="s">
        <v>501</v>
      </c>
      <c r="O6" s="15">
        <f t="shared" si="0"/>
        <v>1</v>
      </c>
      <c r="P6" s="18" t="s">
        <v>507</v>
      </c>
    </row>
    <row r="7" spans="1:16" ht="192" customHeight="1" x14ac:dyDescent="0.35">
      <c r="A7" s="4" t="s">
        <v>14</v>
      </c>
      <c r="B7" s="4" t="s">
        <v>15</v>
      </c>
      <c r="C7" s="4" t="s">
        <v>35</v>
      </c>
      <c r="D7" s="5" t="s">
        <v>36</v>
      </c>
      <c r="E7" s="4" t="s">
        <v>37</v>
      </c>
      <c r="F7" s="12" t="s">
        <v>38</v>
      </c>
      <c r="G7" s="4" t="s">
        <v>34</v>
      </c>
      <c r="H7" s="4"/>
      <c r="I7" s="4"/>
      <c r="J7" s="4"/>
      <c r="K7" s="6">
        <v>2</v>
      </c>
      <c r="L7" s="6" t="s">
        <v>503</v>
      </c>
      <c r="M7" s="7">
        <v>3</v>
      </c>
      <c r="N7" s="7" t="s">
        <v>501</v>
      </c>
      <c r="O7" s="15">
        <f>M7-K7</f>
        <v>1</v>
      </c>
      <c r="P7" s="18" t="s">
        <v>508</v>
      </c>
    </row>
    <row r="8" spans="1:16" ht="128" customHeight="1" x14ac:dyDescent="0.35">
      <c r="A8" s="4" t="s">
        <v>14</v>
      </c>
      <c r="B8" s="4" t="s">
        <v>39</v>
      </c>
      <c r="C8" s="4" t="s">
        <v>40</v>
      </c>
      <c r="D8" s="5" t="s">
        <v>41</v>
      </c>
      <c r="E8" s="4" t="s">
        <v>42</v>
      </c>
      <c r="F8" s="11" t="s">
        <v>43</v>
      </c>
      <c r="G8" s="4" t="s">
        <v>20</v>
      </c>
      <c r="H8" s="4"/>
      <c r="I8" s="4"/>
      <c r="J8" s="4"/>
      <c r="K8" s="6">
        <v>3</v>
      </c>
      <c r="L8" s="6" t="str">
        <f>VLOOKUP(K8, 'Maturity Scale'!A:B,2,FALSE)</f>
        <v>Repeatable</v>
      </c>
      <c r="M8" s="7">
        <v>3</v>
      </c>
      <c r="N8" s="7" t="str">
        <f>VLOOKUP(M8,'Maturity Scale'!A:B,2,FALSE)</f>
        <v>Repeatable</v>
      </c>
      <c r="O8" s="15">
        <f>M8-K8</f>
        <v>0</v>
      </c>
      <c r="P8" s="18" t="s">
        <v>509</v>
      </c>
    </row>
    <row r="9" spans="1:16" ht="96" customHeight="1" x14ac:dyDescent="0.35">
      <c r="A9" s="4" t="s">
        <v>14</v>
      </c>
      <c r="B9" s="4" t="s">
        <v>39</v>
      </c>
      <c r="C9" s="4" t="s">
        <v>44</v>
      </c>
      <c r="D9" s="5" t="s">
        <v>45</v>
      </c>
      <c r="E9" s="4" t="s">
        <v>46</v>
      </c>
      <c r="F9" s="11" t="s">
        <v>47</v>
      </c>
      <c r="G9" s="4" t="s">
        <v>20</v>
      </c>
      <c r="H9" s="4"/>
      <c r="I9" s="4"/>
      <c r="J9" s="4"/>
      <c r="K9" s="6">
        <v>2</v>
      </c>
      <c r="L9" s="6" t="str">
        <f>VLOOKUP(K9, 'Maturity Scale'!A:B,2,FALSE)</f>
        <v>Risk Informed</v>
      </c>
      <c r="M9" s="7">
        <v>3</v>
      </c>
      <c r="N9" s="7" t="str">
        <f>VLOOKUP(M9,'Maturity Scale'!A:B,2,FALSE)</f>
        <v>Repeatable</v>
      </c>
      <c r="O9" s="15">
        <f t="shared" si="0"/>
        <v>1</v>
      </c>
      <c r="P9" s="18" t="s">
        <v>513</v>
      </c>
    </row>
    <row r="10" spans="1:16" ht="112" customHeight="1" x14ac:dyDescent="0.35">
      <c r="A10" s="4" t="s">
        <v>14</v>
      </c>
      <c r="B10" s="4" t="s">
        <v>39</v>
      </c>
      <c r="C10" s="4" t="s">
        <v>48</v>
      </c>
      <c r="D10" s="5" t="s">
        <v>49</v>
      </c>
      <c r="E10" s="4" t="s">
        <v>50</v>
      </c>
      <c r="F10" s="11" t="s">
        <v>51</v>
      </c>
      <c r="G10" s="4" t="s">
        <v>20</v>
      </c>
      <c r="H10" s="4"/>
      <c r="I10" s="4"/>
      <c r="J10" s="4"/>
      <c r="K10" s="6">
        <v>3</v>
      </c>
      <c r="L10" s="6" t="str">
        <f>VLOOKUP(K10, 'Maturity Scale'!A:B,2,FALSE)</f>
        <v>Repeatable</v>
      </c>
      <c r="M10" s="7">
        <v>3</v>
      </c>
      <c r="N10" s="7" t="str">
        <f>VLOOKUP(M10,'Maturity Scale'!A:B,2,FALSE)</f>
        <v>Repeatable</v>
      </c>
      <c r="O10" s="15">
        <f t="shared" si="0"/>
        <v>0</v>
      </c>
      <c r="P10" s="18" t="s">
        <v>510</v>
      </c>
    </row>
    <row r="11" spans="1:16" ht="112" customHeight="1" x14ac:dyDescent="0.35">
      <c r="A11" s="4" t="s">
        <v>14</v>
      </c>
      <c r="B11" s="4" t="s">
        <v>39</v>
      </c>
      <c r="C11" s="4" t="s">
        <v>52</v>
      </c>
      <c r="D11" s="5" t="s">
        <v>53</v>
      </c>
      <c r="E11" s="4" t="s">
        <v>54</v>
      </c>
      <c r="F11" s="11" t="s">
        <v>55</v>
      </c>
      <c r="G11" s="4" t="s">
        <v>20</v>
      </c>
      <c r="H11" s="4"/>
      <c r="I11" s="4"/>
      <c r="J11" s="4"/>
      <c r="K11" s="6">
        <v>3</v>
      </c>
      <c r="L11" s="6" t="str">
        <f>VLOOKUP(K11, 'Maturity Scale'!A:B,2,FALSE)</f>
        <v>Repeatable</v>
      </c>
      <c r="M11" s="7">
        <v>3</v>
      </c>
      <c r="N11" s="7" t="str">
        <f>VLOOKUP(M11,'Maturity Scale'!A:B,2,FALSE)</f>
        <v>Repeatable</v>
      </c>
      <c r="O11" s="15">
        <f t="shared" si="0"/>
        <v>0</v>
      </c>
      <c r="P11" s="18" t="s">
        <v>511</v>
      </c>
    </row>
    <row r="12" spans="1:16" ht="112" customHeight="1" x14ac:dyDescent="0.35">
      <c r="A12" s="4" t="s">
        <v>14</v>
      </c>
      <c r="B12" s="4" t="s">
        <v>39</v>
      </c>
      <c r="C12" s="4" t="s">
        <v>56</v>
      </c>
      <c r="D12" s="5" t="s">
        <v>57</v>
      </c>
      <c r="E12" s="4" t="s">
        <v>58</v>
      </c>
      <c r="F12" s="11" t="s">
        <v>59</v>
      </c>
      <c r="G12" s="4" t="s">
        <v>20</v>
      </c>
      <c r="H12" s="4"/>
      <c r="I12" s="4"/>
      <c r="J12" s="4"/>
      <c r="K12" s="6">
        <v>1</v>
      </c>
      <c r="L12" s="6" t="str">
        <f>VLOOKUP(K12, 'Maturity Scale'!A:B,2,FALSE)</f>
        <v>Partial</v>
      </c>
      <c r="M12" s="7">
        <v>3</v>
      </c>
      <c r="N12" s="7" t="str">
        <f>VLOOKUP(M12,'Maturity Scale'!A:B,2,FALSE)</f>
        <v>Repeatable</v>
      </c>
      <c r="O12" s="15">
        <f t="shared" si="0"/>
        <v>2</v>
      </c>
      <c r="P12" s="18" t="s">
        <v>512</v>
      </c>
    </row>
    <row r="13" spans="1:16" ht="144" customHeight="1" x14ac:dyDescent="0.35">
      <c r="A13" s="4" t="s">
        <v>14</v>
      </c>
      <c r="B13" s="4" t="s">
        <v>39</v>
      </c>
      <c r="C13" s="4" t="s">
        <v>60</v>
      </c>
      <c r="D13" s="5" t="s">
        <v>61</v>
      </c>
      <c r="E13" s="4" t="s">
        <v>62</v>
      </c>
      <c r="F13" s="11" t="s">
        <v>63</v>
      </c>
      <c r="G13" s="4" t="s">
        <v>20</v>
      </c>
      <c r="H13" s="4"/>
      <c r="I13" s="4"/>
      <c r="J13" s="4"/>
      <c r="K13" s="6">
        <v>2</v>
      </c>
      <c r="L13" s="6" t="str">
        <f>VLOOKUP(K13, 'Maturity Scale'!A:B,2,FALSE)</f>
        <v>Risk Informed</v>
      </c>
      <c r="M13" s="7">
        <v>3</v>
      </c>
      <c r="N13" s="7" t="str">
        <f>VLOOKUP(M13,'Maturity Scale'!A:B,2,FALSE)</f>
        <v>Repeatable</v>
      </c>
      <c r="O13" s="15">
        <f t="shared" si="0"/>
        <v>1</v>
      </c>
      <c r="P13" s="18" t="s">
        <v>514</v>
      </c>
    </row>
    <row r="14" spans="1:16" ht="96" customHeight="1" x14ac:dyDescent="0.35">
      <c r="A14" s="4" t="s">
        <v>14</v>
      </c>
      <c r="B14" s="4" t="s">
        <v>39</v>
      </c>
      <c r="C14" s="4" t="s">
        <v>64</v>
      </c>
      <c r="D14" s="5" t="s">
        <v>65</v>
      </c>
      <c r="E14" s="4" t="s">
        <v>66</v>
      </c>
      <c r="F14" s="11" t="s">
        <v>67</v>
      </c>
      <c r="G14" s="4" t="s">
        <v>20</v>
      </c>
      <c r="H14" s="4"/>
      <c r="I14" s="4"/>
      <c r="J14" s="4"/>
      <c r="K14" s="6">
        <v>1</v>
      </c>
      <c r="L14" s="6" t="str">
        <f>VLOOKUP(K14, 'Maturity Scale'!A:B,2,FALSE)</f>
        <v>Partial</v>
      </c>
      <c r="M14" s="7">
        <v>3</v>
      </c>
      <c r="N14" s="7" t="str">
        <f>VLOOKUP(M14,'Maturity Scale'!A:B,2,FALSE)</f>
        <v>Repeatable</v>
      </c>
      <c r="O14" s="15">
        <f t="shared" si="0"/>
        <v>2</v>
      </c>
      <c r="P14" s="18" t="s">
        <v>515</v>
      </c>
    </row>
    <row r="15" spans="1:16" ht="176" customHeight="1" x14ac:dyDescent="0.35">
      <c r="A15" s="4" t="s">
        <v>14</v>
      </c>
      <c r="B15" s="4" t="s">
        <v>68</v>
      </c>
      <c r="C15" s="4" t="s">
        <v>69</v>
      </c>
      <c r="D15" s="5" t="s">
        <v>70</v>
      </c>
      <c r="E15" s="4" t="s">
        <v>71</v>
      </c>
      <c r="F15" s="11" t="s">
        <v>72</v>
      </c>
      <c r="G15" s="4" t="s">
        <v>20</v>
      </c>
      <c r="H15" s="4"/>
      <c r="I15" s="4"/>
      <c r="J15" s="4"/>
      <c r="K15" s="6">
        <v>3</v>
      </c>
      <c r="L15" s="6" t="str">
        <f>VLOOKUP(K15, 'Maturity Scale'!A:B,2,FALSE)</f>
        <v>Repeatable</v>
      </c>
      <c r="M15" s="7">
        <v>3</v>
      </c>
      <c r="N15" s="7" t="str">
        <f>VLOOKUP(M15,'Maturity Scale'!A:B,2,FALSE)</f>
        <v>Repeatable</v>
      </c>
      <c r="O15" s="15">
        <f t="shared" si="0"/>
        <v>0</v>
      </c>
      <c r="P15" s="18" t="s">
        <v>516</v>
      </c>
    </row>
    <row r="16" spans="1:16" ht="176" customHeight="1" x14ac:dyDescent="0.35">
      <c r="A16" s="4" t="s">
        <v>14</v>
      </c>
      <c r="B16" s="4" t="s">
        <v>68</v>
      </c>
      <c r="C16" s="4" t="s">
        <v>73</v>
      </c>
      <c r="D16" s="5" t="s">
        <v>74</v>
      </c>
      <c r="E16" s="4" t="s">
        <v>75</v>
      </c>
      <c r="F16" s="11" t="s">
        <v>76</v>
      </c>
      <c r="G16" s="4" t="s">
        <v>20</v>
      </c>
      <c r="H16" s="4"/>
      <c r="I16" s="4"/>
      <c r="J16" s="4"/>
      <c r="K16" s="6">
        <v>3</v>
      </c>
      <c r="L16" s="6" t="str">
        <f>VLOOKUP(K16, 'Maturity Scale'!A:B,2,FALSE)</f>
        <v>Repeatable</v>
      </c>
      <c r="M16" s="7">
        <v>3</v>
      </c>
      <c r="N16" s="7" t="str">
        <f>VLOOKUP(M16,'Maturity Scale'!A:B,2,FALSE)</f>
        <v>Repeatable</v>
      </c>
      <c r="O16" s="15">
        <f t="shared" si="0"/>
        <v>0</v>
      </c>
      <c r="P16" s="18" t="s">
        <v>517</v>
      </c>
    </row>
    <row r="17" spans="1:16" ht="144" customHeight="1" x14ac:dyDescent="0.35">
      <c r="A17" s="4" t="s">
        <v>14</v>
      </c>
      <c r="B17" s="4" t="s">
        <v>68</v>
      </c>
      <c r="C17" s="4" t="s">
        <v>77</v>
      </c>
      <c r="D17" s="5" t="s">
        <v>78</v>
      </c>
      <c r="E17" s="4" t="s">
        <v>79</v>
      </c>
      <c r="F17" s="11" t="s">
        <v>80</v>
      </c>
      <c r="G17" s="4" t="s">
        <v>20</v>
      </c>
      <c r="H17" s="4"/>
      <c r="I17" s="4"/>
      <c r="J17" s="4"/>
      <c r="K17" s="6">
        <v>1</v>
      </c>
      <c r="L17" s="6" t="str">
        <f>VLOOKUP(K17, 'Maturity Scale'!A:B,2,FALSE)</f>
        <v>Partial</v>
      </c>
      <c r="M17" s="7">
        <v>3</v>
      </c>
      <c r="N17" s="7" t="str">
        <f>VLOOKUP(M17,'Maturity Scale'!A:B,2,FALSE)</f>
        <v>Repeatable</v>
      </c>
      <c r="O17" s="15">
        <f t="shared" si="0"/>
        <v>2</v>
      </c>
      <c r="P17" s="18" t="s">
        <v>518</v>
      </c>
    </row>
    <row r="18" spans="1:16" ht="160" customHeight="1" x14ac:dyDescent="0.35">
      <c r="A18" s="4" t="s">
        <v>14</v>
      </c>
      <c r="B18" s="4" t="s">
        <v>68</v>
      </c>
      <c r="C18" s="4" t="s">
        <v>81</v>
      </c>
      <c r="D18" s="5" t="s">
        <v>82</v>
      </c>
      <c r="E18" s="4" t="s">
        <v>83</v>
      </c>
      <c r="F18" s="11" t="s">
        <v>84</v>
      </c>
      <c r="G18" s="4" t="s">
        <v>85</v>
      </c>
      <c r="H18" s="4"/>
      <c r="I18" s="4"/>
      <c r="J18" s="4"/>
      <c r="K18" s="6">
        <v>1</v>
      </c>
      <c r="L18" s="6" t="str">
        <f>VLOOKUP(K18, 'Maturity Scale'!A:B,2,FALSE)</f>
        <v>Partial</v>
      </c>
      <c r="M18" s="7">
        <v>3</v>
      </c>
      <c r="N18" s="7" t="str">
        <f>VLOOKUP(M18,'Maturity Scale'!A:B,2,FALSE)</f>
        <v>Repeatable</v>
      </c>
      <c r="O18" s="15">
        <f t="shared" si="0"/>
        <v>2</v>
      </c>
      <c r="P18" s="18" t="s">
        <v>519</v>
      </c>
    </row>
    <row r="19" spans="1:16" ht="192" customHeight="1" x14ac:dyDescent="0.35">
      <c r="A19" s="4" t="s">
        <v>14</v>
      </c>
      <c r="B19" s="4" t="s">
        <v>86</v>
      </c>
      <c r="C19" s="4" t="s">
        <v>87</v>
      </c>
      <c r="D19" s="5" t="s">
        <v>88</v>
      </c>
      <c r="E19" s="4" t="s">
        <v>89</v>
      </c>
      <c r="F19" s="11" t="s">
        <v>90</v>
      </c>
      <c r="G19" s="4" t="s">
        <v>20</v>
      </c>
      <c r="H19" s="4"/>
      <c r="I19" s="4"/>
      <c r="J19" s="4"/>
      <c r="K19" s="6">
        <v>3</v>
      </c>
      <c r="L19" s="6" t="str">
        <f>VLOOKUP(K19, 'Maturity Scale'!A:B,2,FALSE)</f>
        <v>Repeatable</v>
      </c>
      <c r="M19" s="7">
        <v>3</v>
      </c>
      <c r="N19" s="7" t="str">
        <f>VLOOKUP(M19,'Maturity Scale'!A:B,2,FALSE)</f>
        <v>Repeatable</v>
      </c>
      <c r="O19" s="15">
        <f t="shared" si="0"/>
        <v>0</v>
      </c>
      <c r="P19" s="18" t="s">
        <v>520</v>
      </c>
    </row>
    <row r="20" spans="1:16" ht="176" customHeight="1" x14ac:dyDescent="0.35">
      <c r="A20" s="4" t="s">
        <v>14</v>
      </c>
      <c r="B20" s="4" t="s">
        <v>86</v>
      </c>
      <c r="C20" s="4" t="s">
        <v>91</v>
      </c>
      <c r="D20" s="5" t="s">
        <v>92</v>
      </c>
      <c r="E20" s="4" t="s">
        <v>93</v>
      </c>
      <c r="F20" s="11" t="s">
        <v>94</v>
      </c>
      <c r="G20" s="4" t="s">
        <v>20</v>
      </c>
      <c r="H20" s="4"/>
      <c r="I20" s="4"/>
      <c r="J20" s="4"/>
      <c r="K20" s="6">
        <v>2</v>
      </c>
      <c r="L20" s="6" t="str">
        <f>VLOOKUP(K20, 'Maturity Scale'!A:B,2,FALSE)</f>
        <v>Risk Informed</v>
      </c>
      <c r="M20" s="7">
        <v>3</v>
      </c>
      <c r="N20" s="7" t="str">
        <f>VLOOKUP(M20,'Maturity Scale'!A:B,2,FALSE)</f>
        <v>Repeatable</v>
      </c>
      <c r="O20" s="15">
        <f t="shared" si="0"/>
        <v>1</v>
      </c>
      <c r="P20" s="18" t="s">
        <v>521</v>
      </c>
    </row>
    <row r="21" spans="1:16" ht="128" customHeight="1" x14ac:dyDescent="0.35">
      <c r="A21" s="4" t="s">
        <v>14</v>
      </c>
      <c r="B21" s="4" t="s">
        <v>95</v>
      </c>
      <c r="C21" s="4" t="s">
        <v>96</v>
      </c>
      <c r="D21" s="5" t="s">
        <v>97</v>
      </c>
      <c r="E21" s="4" t="s">
        <v>98</v>
      </c>
      <c r="F21" s="11" t="s">
        <v>99</v>
      </c>
      <c r="G21" s="4" t="s">
        <v>20</v>
      </c>
      <c r="H21" s="4"/>
      <c r="I21" s="4"/>
      <c r="J21" s="4"/>
      <c r="K21" s="6" t="s">
        <v>522</v>
      </c>
      <c r="L21" s="6" t="str">
        <f>VLOOKUP(K21, 'Maturity Scale'!A:B,2,FALSE)</f>
        <v>TBD</v>
      </c>
      <c r="M21" s="7" t="s">
        <v>522</v>
      </c>
      <c r="N21" s="7" t="str">
        <f>VLOOKUP(M21,'Maturity Scale'!A:B,2,FALSE)</f>
        <v>TBD</v>
      </c>
      <c r="O21" s="15" t="e">
        <f>M21-K21</f>
        <v>#VALUE!</v>
      </c>
      <c r="P21" s="18"/>
    </row>
    <row r="22" spans="1:16" ht="144" customHeight="1" x14ac:dyDescent="0.35">
      <c r="A22" s="4" t="s">
        <v>14</v>
      </c>
      <c r="B22" s="4" t="s">
        <v>95</v>
      </c>
      <c r="C22" s="4" t="s">
        <v>100</v>
      </c>
      <c r="D22" s="5" t="s">
        <v>101</v>
      </c>
      <c r="E22" s="4" t="s">
        <v>102</v>
      </c>
      <c r="F22" s="11" t="s">
        <v>103</v>
      </c>
      <c r="G22" s="4" t="s">
        <v>20</v>
      </c>
      <c r="H22" s="4"/>
      <c r="I22" s="4"/>
      <c r="J22" s="4"/>
      <c r="K22" s="6" t="s">
        <v>522</v>
      </c>
      <c r="L22" s="6" t="str">
        <f>VLOOKUP(K22, 'Maturity Scale'!A:B,2,FALSE)</f>
        <v>TBD</v>
      </c>
      <c r="M22" s="7" t="s">
        <v>522</v>
      </c>
      <c r="N22" s="7" t="str">
        <f>VLOOKUP(M22,'Maturity Scale'!A:B,2,FALSE)</f>
        <v>TBD</v>
      </c>
      <c r="O22" s="15" t="e">
        <f t="shared" si="0"/>
        <v>#VALUE!</v>
      </c>
      <c r="P22" s="18"/>
    </row>
    <row r="23" spans="1:16" ht="144" customHeight="1" x14ac:dyDescent="0.35">
      <c r="A23" s="4" t="s">
        <v>14</v>
      </c>
      <c r="B23" s="4" t="s">
        <v>95</v>
      </c>
      <c r="C23" s="4" t="s">
        <v>104</v>
      </c>
      <c r="D23" s="5" t="s">
        <v>105</v>
      </c>
      <c r="E23" s="4" t="s">
        <v>106</v>
      </c>
      <c r="F23" s="11" t="s">
        <v>107</v>
      </c>
      <c r="G23" s="4" t="s">
        <v>20</v>
      </c>
      <c r="H23" s="4"/>
      <c r="I23" s="4"/>
      <c r="J23" s="4"/>
      <c r="K23" s="6">
        <v>2</v>
      </c>
      <c r="L23" s="6" t="str">
        <f>VLOOKUP(K23, 'Maturity Scale'!A:B,2,FALSE)</f>
        <v>Risk Informed</v>
      </c>
      <c r="M23" s="7">
        <v>3</v>
      </c>
      <c r="N23" s="7" t="str">
        <f>VLOOKUP(M23,'Maturity Scale'!A:B,2,FALSE)</f>
        <v>Repeatable</v>
      </c>
      <c r="O23" s="15">
        <f t="shared" si="0"/>
        <v>1</v>
      </c>
      <c r="P23" s="18" t="s">
        <v>523</v>
      </c>
    </row>
    <row r="24" spans="1:16" ht="208" customHeight="1" x14ac:dyDescent="0.35">
      <c r="A24" s="4" t="s">
        <v>14</v>
      </c>
      <c r="B24" s="4" t="s">
        <v>108</v>
      </c>
      <c r="C24" s="4" t="s">
        <v>109</v>
      </c>
      <c r="D24" s="5" t="s">
        <v>110</v>
      </c>
      <c r="E24" s="4" t="s">
        <v>111</v>
      </c>
      <c r="F24" s="11" t="s">
        <v>112</v>
      </c>
      <c r="G24" s="4" t="s">
        <v>20</v>
      </c>
      <c r="H24" s="4"/>
      <c r="I24" s="4"/>
      <c r="J24" s="4"/>
      <c r="K24" s="6">
        <v>1</v>
      </c>
      <c r="L24" s="6" t="str">
        <f>VLOOKUP(K24, 'Maturity Scale'!A:B,2,FALSE)</f>
        <v>Partial</v>
      </c>
      <c r="M24" s="7">
        <v>3</v>
      </c>
      <c r="N24" s="7" t="str">
        <f>VLOOKUP(M24,'Maturity Scale'!A:B,2,FALSE)</f>
        <v>Repeatable</v>
      </c>
      <c r="O24" s="15">
        <f t="shared" si="0"/>
        <v>2</v>
      </c>
      <c r="P24" s="18" t="s">
        <v>524</v>
      </c>
    </row>
    <row r="25" spans="1:16" ht="368" customHeight="1" x14ac:dyDescent="0.35">
      <c r="A25" s="4" t="s">
        <v>14</v>
      </c>
      <c r="B25" s="4" t="s">
        <v>108</v>
      </c>
      <c r="C25" s="4" t="s">
        <v>113</v>
      </c>
      <c r="D25" s="5" t="s">
        <v>114</v>
      </c>
      <c r="E25" s="4" t="s">
        <v>115</v>
      </c>
      <c r="F25" s="11" t="s">
        <v>116</v>
      </c>
      <c r="G25" s="4" t="s">
        <v>20</v>
      </c>
      <c r="H25" s="4"/>
      <c r="I25" s="4"/>
      <c r="J25" s="4"/>
      <c r="K25" s="6">
        <v>1</v>
      </c>
      <c r="L25" s="6" t="str">
        <f>VLOOKUP(K25, 'Maturity Scale'!A:B,2,FALSE)</f>
        <v>Partial</v>
      </c>
      <c r="M25" s="7">
        <v>3</v>
      </c>
      <c r="N25" s="7" t="str">
        <f>VLOOKUP(M25,'Maturity Scale'!A:B,2,FALSE)</f>
        <v>Repeatable</v>
      </c>
      <c r="O25" s="15">
        <f t="shared" si="0"/>
        <v>2</v>
      </c>
      <c r="P25" s="18" t="s">
        <v>524</v>
      </c>
    </row>
    <row r="26" spans="1:16" ht="144" customHeight="1" x14ac:dyDescent="0.35">
      <c r="A26" s="4" t="s">
        <v>14</v>
      </c>
      <c r="B26" s="4" t="s">
        <v>108</v>
      </c>
      <c r="C26" s="4" t="s">
        <v>117</v>
      </c>
      <c r="D26" s="5" t="s">
        <v>118</v>
      </c>
      <c r="E26" s="4" t="s">
        <v>119</v>
      </c>
      <c r="F26" s="11" t="s">
        <v>120</v>
      </c>
      <c r="G26" s="4" t="s">
        <v>20</v>
      </c>
      <c r="H26" s="4"/>
      <c r="I26" s="4"/>
      <c r="J26" s="4"/>
      <c r="K26" s="6">
        <v>1</v>
      </c>
      <c r="L26" s="6" t="str">
        <f>VLOOKUP(K26, 'Maturity Scale'!A:B,2,FALSE)</f>
        <v>Partial</v>
      </c>
      <c r="M26" s="7">
        <v>3</v>
      </c>
      <c r="N26" s="7" t="str">
        <f>VLOOKUP(M26,'Maturity Scale'!A:B,2,FALSE)</f>
        <v>Repeatable</v>
      </c>
      <c r="O26" s="15">
        <f t="shared" si="0"/>
        <v>2</v>
      </c>
      <c r="P26" s="18" t="s">
        <v>524</v>
      </c>
    </row>
    <row r="27" spans="1:16" ht="96" customHeight="1" x14ac:dyDescent="0.35">
      <c r="A27" s="4" t="s">
        <v>14</v>
      </c>
      <c r="B27" s="4" t="s">
        <v>108</v>
      </c>
      <c r="C27" s="4" t="s">
        <v>121</v>
      </c>
      <c r="D27" s="5" t="s">
        <v>122</v>
      </c>
      <c r="E27" s="4" t="s">
        <v>123</v>
      </c>
      <c r="F27" s="11" t="s">
        <v>124</v>
      </c>
      <c r="G27" s="4" t="s">
        <v>125</v>
      </c>
      <c r="H27" s="4"/>
      <c r="I27" s="4"/>
      <c r="J27" s="4"/>
      <c r="K27" s="6">
        <v>3</v>
      </c>
      <c r="L27" s="6" t="str">
        <f>VLOOKUP(K27, 'Maturity Scale'!A:B,2,FALSE)</f>
        <v>Repeatable</v>
      </c>
      <c r="M27" s="7">
        <v>3</v>
      </c>
      <c r="N27" s="7" t="str">
        <f>VLOOKUP(M27,'Maturity Scale'!A:B,2,FALSE)</f>
        <v>Repeatable</v>
      </c>
      <c r="O27" s="15">
        <f t="shared" si="0"/>
        <v>0</v>
      </c>
      <c r="P27" s="18" t="s">
        <v>534</v>
      </c>
    </row>
    <row r="28" spans="1:16" ht="409.5" customHeight="1" x14ac:dyDescent="0.35">
      <c r="A28" s="4" t="s">
        <v>14</v>
      </c>
      <c r="B28" s="4" t="s">
        <v>108</v>
      </c>
      <c r="C28" s="4" t="s">
        <v>126</v>
      </c>
      <c r="D28" s="5" t="s">
        <v>127</v>
      </c>
      <c r="E28" s="4" t="s">
        <v>128</v>
      </c>
      <c r="F28" s="11" t="s">
        <v>129</v>
      </c>
      <c r="G28" s="4" t="s">
        <v>125</v>
      </c>
      <c r="H28" s="4"/>
      <c r="I28" s="4"/>
      <c r="J28" s="4"/>
      <c r="K28" s="6">
        <v>2</v>
      </c>
      <c r="L28" s="6" t="str">
        <f>VLOOKUP(K28, 'Maturity Scale'!A:B,2,FALSE)</f>
        <v>Risk Informed</v>
      </c>
      <c r="M28" s="7">
        <v>3</v>
      </c>
      <c r="N28" s="7" t="str">
        <f>VLOOKUP(M28,'Maturity Scale'!A:B,2,FALSE)</f>
        <v>Repeatable</v>
      </c>
      <c r="O28" s="15">
        <f t="shared" si="0"/>
        <v>1</v>
      </c>
      <c r="P28" s="18" t="s">
        <v>533</v>
      </c>
    </row>
    <row r="29" spans="1:16" ht="144" customHeight="1" x14ac:dyDescent="0.35">
      <c r="A29" s="4" t="s">
        <v>14</v>
      </c>
      <c r="B29" s="4" t="s">
        <v>108</v>
      </c>
      <c r="C29" s="4" t="s">
        <v>130</v>
      </c>
      <c r="D29" s="5" t="s">
        <v>131</v>
      </c>
      <c r="E29" s="4" t="s">
        <v>132</v>
      </c>
      <c r="F29" s="11" t="s">
        <v>133</v>
      </c>
      <c r="G29" s="4" t="s">
        <v>125</v>
      </c>
      <c r="H29" s="4"/>
      <c r="I29" s="4"/>
      <c r="J29" s="4"/>
      <c r="K29" s="6">
        <v>3</v>
      </c>
      <c r="L29" s="6" t="str">
        <f>VLOOKUP(K29, 'Maturity Scale'!A:B,2,FALSE)</f>
        <v>Repeatable</v>
      </c>
      <c r="M29" s="7">
        <v>3</v>
      </c>
      <c r="N29" s="7" t="str">
        <f>VLOOKUP(M29,'Maturity Scale'!A:B,2,FALSE)</f>
        <v>Repeatable</v>
      </c>
      <c r="O29" s="15">
        <f t="shared" si="0"/>
        <v>0</v>
      </c>
      <c r="P29" s="18" t="s">
        <v>532</v>
      </c>
    </row>
    <row r="30" spans="1:16" ht="240" customHeight="1" x14ac:dyDescent="0.35">
      <c r="A30" s="4" t="s">
        <v>14</v>
      </c>
      <c r="B30" s="4" t="s">
        <v>108</v>
      </c>
      <c r="C30" s="4" t="s">
        <v>134</v>
      </c>
      <c r="D30" s="5" t="s">
        <v>135</v>
      </c>
      <c r="E30" s="4" t="s">
        <v>136</v>
      </c>
      <c r="F30" s="11" t="s">
        <v>137</v>
      </c>
      <c r="G30" s="4" t="s">
        <v>125</v>
      </c>
      <c r="H30" s="4"/>
      <c r="I30" s="4"/>
      <c r="J30" s="4"/>
      <c r="K30" s="6">
        <v>2</v>
      </c>
      <c r="L30" s="6" t="str">
        <f>VLOOKUP(K30, 'Maturity Scale'!A:B,2,FALSE)</f>
        <v>Risk Informed</v>
      </c>
      <c r="M30" s="7">
        <v>3</v>
      </c>
      <c r="N30" s="7" t="str">
        <f>VLOOKUP(M30,'Maturity Scale'!A:B,2,FALSE)</f>
        <v>Repeatable</v>
      </c>
      <c r="O30" s="15">
        <f t="shared" si="0"/>
        <v>1</v>
      </c>
      <c r="P30" s="18" t="s">
        <v>531</v>
      </c>
    </row>
    <row r="31" spans="1:16" ht="176" customHeight="1" x14ac:dyDescent="0.35">
      <c r="A31" s="4" t="s">
        <v>14</v>
      </c>
      <c r="B31" s="4" t="s">
        <v>108</v>
      </c>
      <c r="C31" s="4" t="s">
        <v>138</v>
      </c>
      <c r="D31" s="5" t="s">
        <v>139</v>
      </c>
      <c r="E31" s="4" t="s">
        <v>140</v>
      </c>
      <c r="F31" s="11" t="s">
        <v>141</v>
      </c>
      <c r="G31" s="4" t="s">
        <v>142</v>
      </c>
      <c r="H31" s="4"/>
      <c r="I31" s="4"/>
      <c r="J31" s="4"/>
      <c r="K31" s="6">
        <v>3</v>
      </c>
      <c r="L31" s="6" t="str">
        <f>VLOOKUP(K31, 'Maturity Scale'!A:B,2,FALSE)</f>
        <v>Repeatable</v>
      </c>
      <c r="M31" s="7">
        <v>3</v>
      </c>
      <c r="N31" s="7" t="str">
        <f>VLOOKUP(M31,'Maturity Scale'!A:B,2,FALSE)</f>
        <v>Repeatable</v>
      </c>
      <c r="O31" s="15">
        <f t="shared" si="0"/>
        <v>0</v>
      </c>
      <c r="P31" s="18" t="s">
        <v>530</v>
      </c>
    </row>
    <row r="32" spans="1:16" ht="192" customHeight="1" x14ac:dyDescent="0.35">
      <c r="A32" s="4" t="s">
        <v>14</v>
      </c>
      <c r="B32" s="4" t="s">
        <v>108</v>
      </c>
      <c r="C32" s="4" t="s">
        <v>143</v>
      </c>
      <c r="D32" s="5" t="s">
        <v>144</v>
      </c>
      <c r="E32" s="4" t="s">
        <v>145</v>
      </c>
      <c r="F32" s="11" t="s">
        <v>146</v>
      </c>
      <c r="G32" s="4" t="s">
        <v>125</v>
      </c>
      <c r="H32" s="4"/>
      <c r="I32" s="4"/>
      <c r="J32" s="4"/>
      <c r="K32" s="6">
        <v>1</v>
      </c>
      <c r="L32" s="6" t="str">
        <f>VLOOKUP(K32, 'Maturity Scale'!A:B,2,FALSE)</f>
        <v>Partial</v>
      </c>
      <c r="M32" s="7">
        <v>3</v>
      </c>
      <c r="N32" s="7" t="str">
        <f>VLOOKUP(M32,'Maturity Scale'!A:B,2,FALSE)</f>
        <v>Repeatable</v>
      </c>
      <c r="O32" s="15">
        <f t="shared" si="0"/>
        <v>2</v>
      </c>
      <c r="P32" s="18" t="s">
        <v>524</v>
      </c>
    </row>
    <row r="33" spans="1:16" ht="208" customHeight="1" x14ac:dyDescent="0.35">
      <c r="A33" s="4" t="s">
        <v>14</v>
      </c>
      <c r="B33" s="4" t="s">
        <v>108</v>
      </c>
      <c r="C33" s="4" t="s">
        <v>147</v>
      </c>
      <c r="D33" s="5" t="s">
        <v>148</v>
      </c>
      <c r="E33" s="4" t="s">
        <v>149</v>
      </c>
      <c r="F33" s="11" t="s">
        <v>150</v>
      </c>
      <c r="G33" s="4" t="s">
        <v>125</v>
      </c>
      <c r="H33" s="4"/>
      <c r="I33" s="4"/>
      <c r="J33" s="4"/>
      <c r="K33" s="6">
        <v>2</v>
      </c>
      <c r="L33" s="6" t="str">
        <f>VLOOKUP(K33, 'Maturity Scale'!A:B,2,FALSE)</f>
        <v>Risk Informed</v>
      </c>
      <c r="M33" s="7">
        <v>3</v>
      </c>
      <c r="N33" s="7" t="str">
        <f>VLOOKUP(M33,'Maturity Scale'!A:B,2,FALSE)</f>
        <v>Repeatable</v>
      </c>
      <c r="O33" s="15">
        <f t="shared" si="0"/>
        <v>1</v>
      </c>
      <c r="P33" s="18" t="s">
        <v>529</v>
      </c>
    </row>
    <row r="34" spans="1:16" ht="64" customHeight="1" x14ac:dyDescent="0.35">
      <c r="A34" s="4" t="s">
        <v>151</v>
      </c>
      <c r="B34" s="4" t="s">
        <v>152</v>
      </c>
      <c r="C34" s="4" t="s">
        <v>153</v>
      </c>
      <c r="D34" s="5" t="s">
        <v>154</v>
      </c>
      <c r="E34" s="4" t="s">
        <v>155</v>
      </c>
      <c r="F34" s="11" t="s">
        <v>156</v>
      </c>
      <c r="G34" s="4" t="s">
        <v>34</v>
      </c>
      <c r="H34" s="4"/>
      <c r="I34" s="4"/>
      <c r="J34" s="4"/>
      <c r="K34" s="6">
        <v>2</v>
      </c>
      <c r="L34" s="6" t="str">
        <f>VLOOKUP(K34, 'Maturity Scale'!A:B,2,FALSE)</f>
        <v>Risk Informed</v>
      </c>
      <c r="M34" s="7">
        <v>3</v>
      </c>
      <c r="N34" s="7" t="str">
        <f>VLOOKUP(M34,'Maturity Scale'!A:B,2,FALSE)</f>
        <v>Repeatable</v>
      </c>
      <c r="O34" s="15">
        <f t="shared" si="0"/>
        <v>1</v>
      </c>
      <c r="P34" s="18" t="s">
        <v>525</v>
      </c>
    </row>
    <row r="35" spans="1:16" ht="96" customHeight="1" x14ac:dyDescent="0.35">
      <c r="A35" s="4" t="s">
        <v>151</v>
      </c>
      <c r="B35" s="4" t="s">
        <v>152</v>
      </c>
      <c r="C35" s="4" t="s">
        <v>157</v>
      </c>
      <c r="D35" s="5" t="s">
        <v>158</v>
      </c>
      <c r="E35" s="4" t="s">
        <v>159</v>
      </c>
      <c r="F35" s="11" t="s">
        <v>160</v>
      </c>
      <c r="G35" s="4" t="s">
        <v>34</v>
      </c>
      <c r="H35" s="4"/>
      <c r="I35" s="4"/>
      <c r="J35" s="4"/>
      <c r="K35" s="6">
        <v>2</v>
      </c>
      <c r="L35" s="6" t="str">
        <f>VLOOKUP(K35, 'Maturity Scale'!A:B,2,FALSE)</f>
        <v>Risk Informed</v>
      </c>
      <c r="M35" s="7">
        <v>3</v>
      </c>
      <c r="N35" s="7" t="str">
        <f>VLOOKUP(M35,'Maturity Scale'!A:B,2,FALSE)</f>
        <v>Repeatable</v>
      </c>
      <c r="O35" s="15">
        <f t="shared" si="0"/>
        <v>1</v>
      </c>
      <c r="P35" s="18" t="s">
        <v>526</v>
      </c>
    </row>
    <row r="36" spans="1:16" ht="128" customHeight="1" x14ac:dyDescent="0.35">
      <c r="A36" s="4" t="s">
        <v>151</v>
      </c>
      <c r="B36" s="4" t="s">
        <v>152</v>
      </c>
      <c r="C36" s="4" t="s">
        <v>161</v>
      </c>
      <c r="D36" s="5" t="s">
        <v>162</v>
      </c>
      <c r="E36" s="4" t="s">
        <v>163</v>
      </c>
      <c r="F36" s="11" t="s">
        <v>164</v>
      </c>
      <c r="G36" s="4" t="s">
        <v>34</v>
      </c>
      <c r="H36" s="4"/>
      <c r="I36" s="4"/>
      <c r="J36" s="4"/>
      <c r="K36" s="6">
        <v>1</v>
      </c>
      <c r="L36" s="6" t="str">
        <f>VLOOKUP(K36, 'Maturity Scale'!A:B,2,FALSE)</f>
        <v>Partial</v>
      </c>
      <c r="M36" s="7">
        <v>3</v>
      </c>
      <c r="N36" s="7" t="str">
        <f>VLOOKUP(M36,'Maturity Scale'!A:B,2,FALSE)</f>
        <v>Repeatable</v>
      </c>
      <c r="O36" s="15">
        <f t="shared" si="0"/>
        <v>2</v>
      </c>
      <c r="P36" s="18" t="s">
        <v>527</v>
      </c>
    </row>
    <row r="37" spans="1:16" ht="112" customHeight="1" x14ac:dyDescent="0.35">
      <c r="A37" s="4" t="s">
        <v>151</v>
      </c>
      <c r="B37" s="4" t="s">
        <v>152</v>
      </c>
      <c r="C37" s="4" t="s">
        <v>165</v>
      </c>
      <c r="D37" s="5" t="s">
        <v>166</v>
      </c>
      <c r="E37" s="4" t="s">
        <v>167</v>
      </c>
      <c r="F37" s="11" t="s">
        <v>168</v>
      </c>
      <c r="G37" s="4" t="s">
        <v>125</v>
      </c>
      <c r="H37" s="4"/>
      <c r="I37" s="4"/>
      <c r="J37" s="4"/>
      <c r="K37" s="6">
        <v>2</v>
      </c>
      <c r="L37" s="6" t="str">
        <f>VLOOKUP(K37, 'Maturity Scale'!A:B,2,FALSE)</f>
        <v>Risk Informed</v>
      </c>
      <c r="M37" s="7">
        <v>3</v>
      </c>
      <c r="N37" s="7" t="str">
        <f>VLOOKUP(M37,'Maturity Scale'!A:B,2,FALSE)</f>
        <v>Repeatable</v>
      </c>
      <c r="O37" s="15">
        <f t="shared" si="0"/>
        <v>1</v>
      </c>
      <c r="P37" s="18" t="s">
        <v>528</v>
      </c>
    </row>
    <row r="38" spans="1:16" ht="64" customHeight="1" x14ac:dyDescent="0.35">
      <c r="A38" s="4" t="s">
        <v>151</v>
      </c>
      <c r="B38" s="4" t="s">
        <v>152</v>
      </c>
      <c r="C38" s="4" t="s">
        <v>169</v>
      </c>
      <c r="D38" s="5" t="s">
        <v>170</v>
      </c>
      <c r="E38" s="4" t="s">
        <v>171</v>
      </c>
      <c r="F38" s="11" t="s">
        <v>172</v>
      </c>
      <c r="G38" s="4" t="s">
        <v>34</v>
      </c>
      <c r="H38" s="4"/>
      <c r="I38" s="4"/>
      <c r="J38" s="4"/>
      <c r="K38" s="6">
        <v>1</v>
      </c>
      <c r="L38" s="6" t="str">
        <f>VLOOKUP(K38, 'Maturity Scale'!A:B,2,FALSE)</f>
        <v>Partial</v>
      </c>
      <c r="M38" s="7">
        <v>3</v>
      </c>
      <c r="N38" s="7" t="str">
        <f>VLOOKUP(M38,'Maturity Scale'!A:B,2,FALSE)</f>
        <v>Repeatable</v>
      </c>
      <c r="O38" s="15">
        <f t="shared" si="0"/>
        <v>2</v>
      </c>
      <c r="P38" s="18" t="s">
        <v>535</v>
      </c>
    </row>
    <row r="39" spans="1:16" ht="160" customHeight="1" x14ac:dyDescent="0.35">
      <c r="A39" s="4" t="s">
        <v>151</v>
      </c>
      <c r="B39" s="4" t="s">
        <v>152</v>
      </c>
      <c r="C39" s="4" t="s">
        <v>173</v>
      </c>
      <c r="D39" s="5" t="s">
        <v>174</v>
      </c>
      <c r="E39" s="4" t="s">
        <v>175</v>
      </c>
      <c r="F39" s="11" t="s">
        <v>176</v>
      </c>
      <c r="G39" s="4" t="s">
        <v>142</v>
      </c>
      <c r="H39" s="4"/>
      <c r="I39" s="4"/>
      <c r="J39" s="4"/>
      <c r="K39" s="6">
        <v>1</v>
      </c>
      <c r="L39" s="6" t="str">
        <f>VLOOKUP(K39, 'Maturity Scale'!A:B,2,FALSE)</f>
        <v>Partial</v>
      </c>
      <c r="M39" s="7">
        <v>3</v>
      </c>
      <c r="N39" s="7" t="str">
        <f>VLOOKUP(M39,'Maturity Scale'!A:B,2,FALSE)</f>
        <v>Repeatable</v>
      </c>
      <c r="O39" s="15">
        <f t="shared" si="0"/>
        <v>2</v>
      </c>
      <c r="P39" s="18" t="s">
        <v>536</v>
      </c>
    </row>
    <row r="40" spans="1:16" ht="288" customHeight="1" x14ac:dyDescent="0.35">
      <c r="A40" s="4" t="s">
        <v>151</v>
      </c>
      <c r="B40" s="4" t="s">
        <v>152</v>
      </c>
      <c r="C40" s="4" t="s">
        <v>177</v>
      </c>
      <c r="D40" s="5" t="s">
        <v>178</v>
      </c>
      <c r="E40" s="4" t="s">
        <v>179</v>
      </c>
      <c r="F40" s="11" t="s">
        <v>180</v>
      </c>
      <c r="G40" s="4" t="s">
        <v>34</v>
      </c>
      <c r="H40" s="4"/>
      <c r="I40" s="4"/>
      <c r="J40" s="4"/>
      <c r="K40" s="6">
        <v>1</v>
      </c>
      <c r="L40" s="6" t="str">
        <f>VLOOKUP(K40, 'Maturity Scale'!A:B,2,FALSE)</f>
        <v>Partial</v>
      </c>
      <c r="M40" s="7">
        <v>3</v>
      </c>
      <c r="N40" s="7" t="str">
        <f>VLOOKUP(M40,'Maturity Scale'!A:B,2,FALSE)</f>
        <v>Repeatable</v>
      </c>
      <c r="O40" s="15">
        <f t="shared" si="0"/>
        <v>2</v>
      </c>
      <c r="P40" s="18" t="s">
        <v>537</v>
      </c>
    </row>
    <row r="41" spans="1:16" ht="192" customHeight="1" x14ac:dyDescent="0.35">
      <c r="A41" s="4" t="s">
        <v>151</v>
      </c>
      <c r="B41" s="4" t="s">
        <v>181</v>
      </c>
      <c r="C41" s="4" t="s">
        <v>182</v>
      </c>
      <c r="D41" s="5" t="s">
        <v>183</v>
      </c>
      <c r="E41" s="4" t="s">
        <v>184</v>
      </c>
      <c r="F41" s="13" t="s">
        <v>185</v>
      </c>
      <c r="G41" s="4" t="s">
        <v>142</v>
      </c>
      <c r="H41" s="4"/>
      <c r="I41" s="4"/>
      <c r="J41" s="4"/>
      <c r="K41" s="6">
        <v>3</v>
      </c>
      <c r="L41" s="6" t="str">
        <f>VLOOKUP(K41, 'Maturity Scale'!A:B,2,FALSE)</f>
        <v>Repeatable</v>
      </c>
      <c r="M41" s="7">
        <v>3</v>
      </c>
      <c r="N41" s="7" t="str">
        <f>VLOOKUP(M41,'Maturity Scale'!A:B,2,FALSE)</f>
        <v>Repeatable</v>
      </c>
      <c r="O41" s="15">
        <f t="shared" si="0"/>
        <v>0</v>
      </c>
      <c r="P41" s="18" t="s">
        <v>538</v>
      </c>
    </row>
    <row r="42" spans="1:16" ht="96" customHeight="1" x14ac:dyDescent="0.35">
      <c r="A42" s="4" t="s">
        <v>151</v>
      </c>
      <c r="B42" s="4" t="s">
        <v>181</v>
      </c>
      <c r="C42" s="4" t="s">
        <v>186</v>
      </c>
      <c r="D42" s="5" t="s">
        <v>187</v>
      </c>
      <c r="E42" s="4" t="s">
        <v>188</v>
      </c>
      <c r="F42" s="11" t="s">
        <v>189</v>
      </c>
      <c r="G42" s="4" t="s">
        <v>142</v>
      </c>
      <c r="H42" s="4"/>
      <c r="I42" s="4"/>
      <c r="J42" s="4"/>
      <c r="K42" s="6">
        <v>3</v>
      </c>
      <c r="L42" s="6" t="str">
        <f>VLOOKUP(K42, 'Maturity Scale'!A:B,2,FALSE)</f>
        <v>Repeatable</v>
      </c>
      <c r="M42" s="7">
        <v>3</v>
      </c>
      <c r="N42" s="7" t="str">
        <f>VLOOKUP(M42,'Maturity Scale'!A:B,2,FALSE)</f>
        <v>Repeatable</v>
      </c>
      <c r="O42" s="15">
        <f t="shared" si="0"/>
        <v>0</v>
      </c>
      <c r="P42" s="18" t="s">
        <v>539</v>
      </c>
    </row>
    <row r="43" spans="1:16" ht="96" customHeight="1" x14ac:dyDescent="0.35">
      <c r="A43" s="4" t="s">
        <v>151</v>
      </c>
      <c r="B43" s="4" t="s">
        <v>181</v>
      </c>
      <c r="C43" s="4" t="s">
        <v>190</v>
      </c>
      <c r="D43" s="5" t="s">
        <v>191</v>
      </c>
      <c r="E43" s="4" t="s">
        <v>192</v>
      </c>
      <c r="F43" s="11" t="s">
        <v>193</v>
      </c>
      <c r="G43" s="4" t="s">
        <v>142</v>
      </c>
      <c r="H43" s="4"/>
      <c r="I43" s="4"/>
      <c r="J43" s="4"/>
      <c r="K43" s="6">
        <v>3</v>
      </c>
      <c r="L43" s="6" t="str">
        <f>VLOOKUP(K43, 'Maturity Scale'!A:B,2,FALSE)</f>
        <v>Repeatable</v>
      </c>
      <c r="M43" s="7">
        <v>3</v>
      </c>
      <c r="N43" s="7" t="str">
        <f>VLOOKUP(M43,'Maturity Scale'!A:B,2,FALSE)</f>
        <v>Repeatable</v>
      </c>
      <c r="O43" s="15">
        <f t="shared" si="0"/>
        <v>0</v>
      </c>
      <c r="P43" s="18" t="s">
        <v>540</v>
      </c>
    </row>
    <row r="44" spans="1:16" ht="128" customHeight="1" x14ac:dyDescent="0.35">
      <c r="A44" s="4" t="s">
        <v>151</v>
      </c>
      <c r="B44" s="4" t="s">
        <v>181</v>
      </c>
      <c r="C44" s="4" t="s">
        <v>194</v>
      </c>
      <c r="D44" s="5" t="s">
        <v>195</v>
      </c>
      <c r="E44" s="4" t="s">
        <v>196</v>
      </c>
      <c r="F44" s="11" t="s">
        <v>197</v>
      </c>
      <c r="G44" s="4" t="s">
        <v>142</v>
      </c>
      <c r="H44" s="4"/>
      <c r="I44" s="4"/>
      <c r="J44" s="4"/>
      <c r="K44" s="6">
        <v>3</v>
      </c>
      <c r="L44" s="6" t="str">
        <f>VLOOKUP(K44, 'Maturity Scale'!A:B,2,FALSE)</f>
        <v>Repeatable</v>
      </c>
      <c r="M44" s="7">
        <v>3</v>
      </c>
      <c r="N44" s="7" t="str">
        <f>VLOOKUP(M44,'Maturity Scale'!A:B,2,FALSE)</f>
        <v>Repeatable</v>
      </c>
      <c r="O44" s="15">
        <f t="shared" si="0"/>
        <v>0</v>
      </c>
      <c r="P44" s="18" t="s">
        <v>541</v>
      </c>
    </row>
    <row r="45" spans="1:16" ht="64" customHeight="1" x14ac:dyDescent="0.35">
      <c r="A45" s="4" t="s">
        <v>151</v>
      </c>
      <c r="B45" s="4" t="s">
        <v>181</v>
      </c>
      <c r="C45" s="4" t="s">
        <v>198</v>
      </c>
      <c r="D45" s="5" t="s">
        <v>199</v>
      </c>
      <c r="E45" s="4" t="s">
        <v>200</v>
      </c>
      <c r="F45" s="11" t="s">
        <v>201</v>
      </c>
      <c r="G45" s="4" t="s">
        <v>20</v>
      </c>
      <c r="H45" s="4"/>
      <c r="I45" s="4"/>
      <c r="J45" s="4"/>
      <c r="K45" s="6">
        <v>3</v>
      </c>
      <c r="L45" s="6" t="str">
        <f>VLOOKUP(K45, 'Maturity Scale'!A:B,2,FALSE)</f>
        <v>Repeatable</v>
      </c>
      <c r="M45" s="7">
        <v>3</v>
      </c>
      <c r="N45" s="7" t="str">
        <f>VLOOKUP(M45,'Maturity Scale'!A:B,2,FALSE)</f>
        <v>Repeatable</v>
      </c>
      <c r="O45" s="15">
        <f t="shared" si="0"/>
        <v>0</v>
      </c>
      <c r="P45" s="18" t="s">
        <v>541</v>
      </c>
    </row>
    <row r="46" spans="1:16" ht="160" customHeight="1" x14ac:dyDescent="0.35">
      <c r="A46" s="4" t="s">
        <v>151</v>
      </c>
      <c r="B46" s="4" t="s">
        <v>181</v>
      </c>
      <c r="C46" s="4" t="s">
        <v>202</v>
      </c>
      <c r="D46" s="5" t="s">
        <v>203</v>
      </c>
      <c r="E46" s="4" t="s">
        <v>204</v>
      </c>
      <c r="F46" s="11" t="s">
        <v>205</v>
      </c>
      <c r="G46" s="4" t="s">
        <v>142</v>
      </c>
      <c r="H46" s="4"/>
      <c r="I46" s="4"/>
      <c r="J46" s="4"/>
      <c r="K46" s="6">
        <v>3</v>
      </c>
      <c r="L46" s="6" t="str">
        <f>VLOOKUP(K46, 'Maturity Scale'!A:B,2,FALSE)</f>
        <v>Repeatable</v>
      </c>
      <c r="M46" s="7">
        <v>3</v>
      </c>
      <c r="N46" s="7" t="str">
        <f>VLOOKUP(M46,'Maturity Scale'!A:B,2,FALSE)</f>
        <v>Repeatable</v>
      </c>
      <c r="O46" s="15">
        <f t="shared" si="0"/>
        <v>0</v>
      </c>
      <c r="P46" s="18" t="s">
        <v>511</v>
      </c>
    </row>
    <row r="47" spans="1:16" ht="144" customHeight="1" x14ac:dyDescent="0.35">
      <c r="A47" s="4" t="s">
        <v>151</v>
      </c>
      <c r="B47" s="4" t="s">
        <v>181</v>
      </c>
      <c r="C47" s="4" t="s">
        <v>206</v>
      </c>
      <c r="D47" s="5" t="s">
        <v>207</v>
      </c>
      <c r="E47" s="4" t="s">
        <v>208</v>
      </c>
      <c r="F47" s="11" t="s">
        <v>209</v>
      </c>
      <c r="G47" s="4" t="s">
        <v>20</v>
      </c>
      <c r="H47" s="4"/>
      <c r="I47" s="4"/>
      <c r="J47" s="4"/>
      <c r="K47" s="6">
        <v>1</v>
      </c>
      <c r="L47" s="6" t="str">
        <f>VLOOKUP(K47, 'Maturity Scale'!A:B,2,FALSE)</f>
        <v>Partial</v>
      </c>
      <c r="M47" s="7">
        <v>3</v>
      </c>
      <c r="N47" s="7" t="str">
        <f>VLOOKUP(M47,'Maturity Scale'!A:B,2,FALSE)</f>
        <v>Repeatable</v>
      </c>
      <c r="O47" s="15">
        <f t="shared" si="0"/>
        <v>2</v>
      </c>
      <c r="P47" s="18" t="s">
        <v>542</v>
      </c>
    </row>
    <row r="48" spans="1:16" ht="112" customHeight="1" x14ac:dyDescent="0.35">
      <c r="A48" s="4" t="s">
        <v>151</v>
      </c>
      <c r="B48" s="4" t="s">
        <v>181</v>
      </c>
      <c r="C48" s="4" t="s">
        <v>210</v>
      </c>
      <c r="D48" s="5" t="s">
        <v>211</v>
      </c>
      <c r="E48" s="4" t="s">
        <v>212</v>
      </c>
      <c r="F48" s="11" t="s">
        <v>213</v>
      </c>
      <c r="G48" s="4" t="s">
        <v>142</v>
      </c>
      <c r="H48" s="4"/>
      <c r="I48" s="4"/>
      <c r="J48" s="4"/>
      <c r="K48" s="6">
        <v>2</v>
      </c>
      <c r="L48" s="6" t="str">
        <f>VLOOKUP(K48, 'Maturity Scale'!A:B,2,FALSE)</f>
        <v>Risk Informed</v>
      </c>
      <c r="M48" s="7">
        <v>3</v>
      </c>
      <c r="N48" s="7" t="str">
        <f>VLOOKUP(M48,'Maturity Scale'!A:B,2,FALSE)</f>
        <v>Repeatable</v>
      </c>
      <c r="O48" s="15">
        <f t="shared" si="0"/>
        <v>1</v>
      </c>
      <c r="P48" s="18" t="s">
        <v>543</v>
      </c>
    </row>
    <row r="49" spans="1:16" ht="112" customHeight="1" x14ac:dyDescent="0.35">
      <c r="A49" s="4" t="s">
        <v>151</v>
      </c>
      <c r="B49" s="4" t="s">
        <v>181</v>
      </c>
      <c r="C49" s="4" t="s">
        <v>214</v>
      </c>
      <c r="D49" s="5" t="s">
        <v>215</v>
      </c>
      <c r="E49" s="4" t="s">
        <v>216</v>
      </c>
      <c r="F49" s="11" t="s">
        <v>217</v>
      </c>
      <c r="G49" s="4" t="s">
        <v>125</v>
      </c>
      <c r="H49" s="4"/>
      <c r="I49" s="4"/>
      <c r="J49" s="4"/>
      <c r="K49" s="6">
        <v>3</v>
      </c>
      <c r="L49" s="6" t="str">
        <f>VLOOKUP(K49, 'Maturity Scale'!A:B,2,FALSE)</f>
        <v>Repeatable</v>
      </c>
      <c r="M49" s="7">
        <v>3</v>
      </c>
      <c r="N49" s="7" t="str">
        <f>VLOOKUP(M49,'Maturity Scale'!A:B,2,FALSE)</f>
        <v>Repeatable</v>
      </c>
      <c r="O49" s="15">
        <f t="shared" si="0"/>
        <v>0</v>
      </c>
      <c r="P49" s="18" t="s">
        <v>544</v>
      </c>
    </row>
    <row r="50" spans="1:16" ht="96" customHeight="1" x14ac:dyDescent="0.35">
      <c r="A50" s="4" t="s">
        <v>151</v>
      </c>
      <c r="B50" s="4" t="s">
        <v>181</v>
      </c>
      <c r="C50" s="4" t="s">
        <v>218</v>
      </c>
      <c r="D50" s="5" t="s">
        <v>219</v>
      </c>
      <c r="E50" s="4" t="s">
        <v>220</v>
      </c>
      <c r="F50" s="11" t="s">
        <v>221</v>
      </c>
      <c r="G50" s="4" t="s">
        <v>125</v>
      </c>
      <c r="H50" s="4"/>
      <c r="I50" s="4"/>
      <c r="J50" s="4"/>
      <c r="K50" s="6">
        <v>3</v>
      </c>
      <c r="L50" s="6" t="str">
        <f>VLOOKUP(K50, 'Maturity Scale'!A:B,2,FALSE)</f>
        <v>Repeatable</v>
      </c>
      <c r="M50" s="7">
        <v>3</v>
      </c>
      <c r="N50" s="7" t="str">
        <f>VLOOKUP(M50,'Maturity Scale'!A:B,2,FALSE)</f>
        <v>Repeatable</v>
      </c>
      <c r="O50" s="15">
        <f t="shared" si="0"/>
        <v>0</v>
      </c>
      <c r="P50" s="18" t="s">
        <v>545</v>
      </c>
    </row>
    <row r="51" spans="1:16" ht="112" customHeight="1" x14ac:dyDescent="0.35">
      <c r="A51" s="4" t="s">
        <v>151</v>
      </c>
      <c r="B51" s="4" t="s">
        <v>222</v>
      </c>
      <c r="C51" s="4" t="s">
        <v>223</v>
      </c>
      <c r="D51" s="5" t="s">
        <v>224</v>
      </c>
      <c r="E51" s="4" t="s">
        <v>225</v>
      </c>
      <c r="F51" s="11" t="s">
        <v>226</v>
      </c>
      <c r="G51" s="4" t="s">
        <v>20</v>
      </c>
      <c r="H51" s="4"/>
      <c r="I51" s="4"/>
      <c r="J51" s="4"/>
      <c r="K51" s="6">
        <v>2</v>
      </c>
      <c r="L51" s="6" t="str">
        <f>VLOOKUP(K51, 'Maturity Scale'!A:B,2,FALSE)</f>
        <v>Risk Informed</v>
      </c>
      <c r="M51" s="7">
        <v>3</v>
      </c>
      <c r="N51" s="7" t="str">
        <f>VLOOKUP(M51,'Maturity Scale'!A:B,2,FALSE)</f>
        <v>Repeatable</v>
      </c>
      <c r="O51" s="15">
        <f t="shared" si="0"/>
        <v>1</v>
      </c>
      <c r="P51" s="18" t="s">
        <v>546</v>
      </c>
    </row>
    <row r="52" spans="1:16" ht="256" customHeight="1" x14ac:dyDescent="0.35">
      <c r="A52" s="4" t="s">
        <v>151</v>
      </c>
      <c r="B52" s="4" t="s">
        <v>222</v>
      </c>
      <c r="C52" s="4" t="s">
        <v>227</v>
      </c>
      <c r="D52" s="5" t="s">
        <v>228</v>
      </c>
      <c r="E52" s="4" t="s">
        <v>229</v>
      </c>
      <c r="F52" s="11" t="s">
        <v>230</v>
      </c>
      <c r="G52" s="4" t="s">
        <v>20</v>
      </c>
      <c r="H52" s="4"/>
      <c r="I52" s="4"/>
      <c r="J52" s="4"/>
      <c r="K52" s="6">
        <v>3</v>
      </c>
      <c r="L52" s="6" t="str">
        <f>VLOOKUP(K52, 'Maturity Scale'!A:B,2,FALSE)</f>
        <v>Repeatable</v>
      </c>
      <c r="M52" s="7">
        <v>3</v>
      </c>
      <c r="N52" s="7" t="str">
        <f>VLOOKUP(M52,'Maturity Scale'!A:B,2,FALSE)</f>
        <v>Repeatable</v>
      </c>
      <c r="O52" s="15">
        <f t="shared" si="0"/>
        <v>0</v>
      </c>
      <c r="P52" s="18" t="s">
        <v>547</v>
      </c>
    </row>
    <row r="53" spans="1:16" ht="80" customHeight="1" x14ac:dyDescent="0.35">
      <c r="A53" s="4" t="s">
        <v>151</v>
      </c>
      <c r="B53" s="4" t="s">
        <v>222</v>
      </c>
      <c r="C53" s="4" t="s">
        <v>231</v>
      </c>
      <c r="D53" s="5" t="s">
        <v>232</v>
      </c>
      <c r="E53" s="4" t="s">
        <v>233</v>
      </c>
      <c r="F53" s="11" t="s">
        <v>234</v>
      </c>
      <c r="G53" s="4" t="s">
        <v>20</v>
      </c>
      <c r="H53" s="4"/>
      <c r="I53" s="4"/>
      <c r="J53" s="4"/>
      <c r="K53" s="6">
        <v>1</v>
      </c>
      <c r="L53" s="6" t="str">
        <f>VLOOKUP(K53, 'Maturity Scale'!A:B,2,FALSE)</f>
        <v>Partial</v>
      </c>
      <c r="M53" s="7">
        <v>3</v>
      </c>
      <c r="N53" s="7" t="str">
        <f>VLOOKUP(M53,'Maturity Scale'!A:B,2,FALSE)</f>
        <v>Repeatable</v>
      </c>
      <c r="O53" s="15">
        <f t="shared" si="0"/>
        <v>2</v>
      </c>
      <c r="P53" s="18" t="s">
        <v>548</v>
      </c>
    </row>
    <row r="54" spans="1:16" ht="240" customHeight="1" x14ac:dyDescent="0.35">
      <c r="A54" s="4" t="s">
        <v>151</v>
      </c>
      <c r="B54" s="4" t="s">
        <v>222</v>
      </c>
      <c r="C54" s="4" t="s">
        <v>235</v>
      </c>
      <c r="D54" s="5" t="s">
        <v>236</v>
      </c>
      <c r="E54" s="4" t="s">
        <v>237</v>
      </c>
      <c r="F54" s="11" t="s">
        <v>238</v>
      </c>
      <c r="G54" s="4" t="s">
        <v>142</v>
      </c>
      <c r="H54" s="4"/>
      <c r="I54" s="4"/>
      <c r="J54" s="4"/>
      <c r="K54" s="6">
        <v>3</v>
      </c>
      <c r="L54" s="6" t="str">
        <f>VLOOKUP(K54, 'Maturity Scale'!A:B,2,FALSE)</f>
        <v>Repeatable</v>
      </c>
      <c r="M54" s="7">
        <v>3</v>
      </c>
      <c r="N54" s="7" t="str">
        <f>VLOOKUP(M54,'Maturity Scale'!A:B,2,FALSE)</f>
        <v>Repeatable</v>
      </c>
      <c r="O54" s="15">
        <f t="shared" si="0"/>
        <v>0</v>
      </c>
      <c r="P54" s="18" t="s">
        <v>549</v>
      </c>
    </row>
    <row r="55" spans="1:16" ht="176" customHeight="1" x14ac:dyDescent="0.35">
      <c r="A55" s="4" t="s">
        <v>239</v>
      </c>
      <c r="B55" s="4" t="s">
        <v>240</v>
      </c>
      <c r="C55" s="4" t="s">
        <v>241</v>
      </c>
      <c r="D55" s="5" t="s">
        <v>242</v>
      </c>
      <c r="E55" s="4" t="s">
        <v>243</v>
      </c>
      <c r="F55" s="11" t="s">
        <v>244</v>
      </c>
      <c r="G55" s="4" t="s">
        <v>34</v>
      </c>
      <c r="H55" s="4"/>
      <c r="I55" s="4"/>
      <c r="J55" s="4"/>
      <c r="K55" s="6">
        <v>3</v>
      </c>
      <c r="L55" s="6" t="str">
        <f>VLOOKUP(K55, 'Maturity Scale'!A:B,2,FALSE)</f>
        <v>Repeatable</v>
      </c>
      <c r="M55" s="7">
        <v>3</v>
      </c>
      <c r="N55" s="7" t="str">
        <f>VLOOKUP(M55,'Maturity Scale'!A:B,2,FALSE)</f>
        <v>Repeatable</v>
      </c>
      <c r="O55" s="15">
        <f t="shared" si="0"/>
        <v>0</v>
      </c>
      <c r="P55" s="18" t="s">
        <v>550</v>
      </c>
    </row>
    <row r="56" spans="1:16" ht="128" customHeight="1" x14ac:dyDescent="0.35">
      <c r="A56" s="4" t="s">
        <v>239</v>
      </c>
      <c r="B56" s="4" t="s">
        <v>240</v>
      </c>
      <c r="C56" s="4" t="s">
        <v>245</v>
      </c>
      <c r="D56" s="5" t="s">
        <v>246</v>
      </c>
      <c r="E56" s="4" t="s">
        <v>247</v>
      </c>
      <c r="F56" s="11" t="s">
        <v>248</v>
      </c>
      <c r="G56" s="4" t="s">
        <v>34</v>
      </c>
      <c r="H56" s="4"/>
      <c r="I56" s="4"/>
      <c r="J56" s="4"/>
      <c r="K56" s="6">
        <v>1</v>
      </c>
      <c r="L56" s="6" t="str">
        <f>VLOOKUP(K56, 'Maturity Scale'!A:B,2,FALSE)</f>
        <v>Partial</v>
      </c>
      <c r="M56" s="7">
        <v>3</v>
      </c>
      <c r="N56" s="7" t="str">
        <f>VLOOKUP(M56,'Maturity Scale'!A:B,2,FALSE)</f>
        <v>Repeatable</v>
      </c>
      <c r="O56" s="15">
        <f t="shared" si="0"/>
        <v>2</v>
      </c>
      <c r="P56" s="18" t="s">
        <v>551</v>
      </c>
    </row>
    <row r="57" spans="1:16" ht="112" customHeight="1" x14ac:dyDescent="0.35">
      <c r="A57" s="4" t="s">
        <v>239</v>
      </c>
      <c r="B57" s="4" t="s">
        <v>240</v>
      </c>
      <c r="C57" s="4" t="s">
        <v>249</v>
      </c>
      <c r="D57" s="5" t="s">
        <v>250</v>
      </c>
      <c r="E57" s="4" t="s">
        <v>251</v>
      </c>
      <c r="F57" s="11" t="s">
        <v>252</v>
      </c>
      <c r="G57" s="4" t="s">
        <v>34</v>
      </c>
      <c r="H57" s="4"/>
      <c r="I57" s="4"/>
      <c r="J57" s="4"/>
      <c r="K57" s="6">
        <v>3</v>
      </c>
      <c r="L57" s="6" t="str">
        <f>VLOOKUP(K57, 'Maturity Scale'!A:B,2,FALSE)</f>
        <v>Repeatable</v>
      </c>
      <c r="M57" s="7">
        <v>3</v>
      </c>
      <c r="N57" s="7" t="str">
        <f>VLOOKUP(M57,'Maturity Scale'!A:B,2,FALSE)</f>
        <v>Repeatable</v>
      </c>
      <c r="O57" s="15">
        <f t="shared" si="0"/>
        <v>0</v>
      </c>
      <c r="P57" s="18" t="s">
        <v>552</v>
      </c>
    </row>
    <row r="58" spans="1:16" ht="160" customHeight="1" x14ac:dyDescent="0.35">
      <c r="A58" s="4" t="s">
        <v>239</v>
      </c>
      <c r="B58" s="4" t="s">
        <v>240</v>
      </c>
      <c r="C58" s="4" t="s">
        <v>253</v>
      </c>
      <c r="D58" s="5" t="s">
        <v>254</v>
      </c>
      <c r="E58" s="4" t="s">
        <v>255</v>
      </c>
      <c r="F58" s="11" t="s">
        <v>256</v>
      </c>
      <c r="G58" s="4" t="s">
        <v>34</v>
      </c>
      <c r="H58" s="4"/>
      <c r="I58" s="4"/>
      <c r="J58" s="4"/>
      <c r="K58" s="6" t="s">
        <v>522</v>
      </c>
      <c r="L58" s="6" t="str">
        <f>VLOOKUP(K58, 'Maturity Scale'!A:B,2,FALSE)</f>
        <v>TBD</v>
      </c>
      <c r="M58" s="7"/>
      <c r="N58" s="7" t="e">
        <f>VLOOKUP(M58,'Maturity Scale'!A:B,2,FALSE)</f>
        <v>#N/A</v>
      </c>
      <c r="O58" s="15" t="e">
        <f t="shared" si="0"/>
        <v>#VALUE!</v>
      </c>
      <c r="P58" s="18"/>
    </row>
    <row r="59" spans="1:16" ht="160" customHeight="1" x14ac:dyDescent="0.35">
      <c r="A59" s="4" t="s">
        <v>239</v>
      </c>
      <c r="B59" s="4" t="s">
        <v>240</v>
      </c>
      <c r="C59" s="4" t="s">
        <v>257</v>
      </c>
      <c r="D59" s="5" t="s">
        <v>258</v>
      </c>
      <c r="E59" s="4" t="s">
        <v>259</v>
      </c>
      <c r="F59" s="11" t="s">
        <v>260</v>
      </c>
      <c r="G59" s="4" t="s">
        <v>34</v>
      </c>
      <c r="H59" s="4"/>
      <c r="I59" s="4"/>
      <c r="J59" s="4"/>
      <c r="K59" s="6">
        <v>1</v>
      </c>
      <c r="L59" s="6" t="str">
        <f>VLOOKUP(K59, 'Maturity Scale'!A:B,2,FALSE)</f>
        <v>Partial</v>
      </c>
      <c r="M59" s="7">
        <v>3</v>
      </c>
      <c r="N59" s="7" t="str">
        <f>VLOOKUP(M59,'Maturity Scale'!A:B,2,FALSE)</f>
        <v>Repeatable</v>
      </c>
      <c r="O59" s="15">
        <f t="shared" si="0"/>
        <v>2</v>
      </c>
      <c r="P59" s="18" t="s">
        <v>553</v>
      </c>
    </row>
    <row r="60" spans="1:16" ht="112" customHeight="1" x14ac:dyDescent="0.35">
      <c r="A60" s="4" t="s">
        <v>239</v>
      </c>
      <c r="B60" s="4" t="s">
        <v>240</v>
      </c>
      <c r="C60" s="4" t="s">
        <v>261</v>
      </c>
      <c r="D60" s="5" t="s">
        <v>262</v>
      </c>
      <c r="E60" s="4" t="s">
        <v>263</v>
      </c>
      <c r="F60" s="11" t="s">
        <v>264</v>
      </c>
      <c r="G60" s="4" t="s">
        <v>20</v>
      </c>
      <c r="H60" s="4"/>
      <c r="I60" s="4"/>
      <c r="J60" s="4"/>
      <c r="K60" s="6">
        <v>1</v>
      </c>
      <c r="L60" s="6" t="str">
        <f>VLOOKUP(K60, 'Maturity Scale'!A:B,2,FALSE)</f>
        <v>Partial</v>
      </c>
      <c r="M60" s="7">
        <v>3</v>
      </c>
      <c r="N60" s="7" t="str">
        <f>VLOOKUP(M60,'Maturity Scale'!A:B,2,FALSE)</f>
        <v>Repeatable</v>
      </c>
      <c r="O60" s="15">
        <f t="shared" si="0"/>
        <v>2</v>
      </c>
      <c r="P60" s="18" t="s">
        <v>554</v>
      </c>
    </row>
    <row r="61" spans="1:16" ht="208" customHeight="1" x14ac:dyDescent="0.35">
      <c r="A61" s="4" t="s">
        <v>239</v>
      </c>
      <c r="B61" s="4" t="s">
        <v>265</v>
      </c>
      <c r="C61" s="4" t="s">
        <v>266</v>
      </c>
      <c r="D61" s="5" t="s">
        <v>267</v>
      </c>
      <c r="E61" s="4" t="s">
        <v>268</v>
      </c>
      <c r="F61" s="11" t="s">
        <v>269</v>
      </c>
      <c r="G61" s="4" t="s">
        <v>85</v>
      </c>
      <c r="H61" s="4"/>
      <c r="I61" s="4"/>
      <c r="J61" s="4"/>
      <c r="K61" s="6">
        <v>1</v>
      </c>
      <c r="L61" s="6" t="str">
        <f>VLOOKUP(K61, 'Maturity Scale'!A:B,2,FALSE)</f>
        <v>Partial</v>
      </c>
      <c r="M61" s="7">
        <v>3</v>
      </c>
      <c r="N61" s="7" t="str">
        <f>VLOOKUP(M61,'Maturity Scale'!A:B,2,FALSE)</f>
        <v>Repeatable</v>
      </c>
      <c r="O61" s="15">
        <f t="shared" si="0"/>
        <v>2</v>
      </c>
      <c r="P61" s="18" t="s">
        <v>555</v>
      </c>
    </row>
    <row r="62" spans="1:16" ht="176" customHeight="1" x14ac:dyDescent="0.35">
      <c r="A62" s="4" t="s">
        <v>239</v>
      </c>
      <c r="B62" s="4" t="s">
        <v>265</v>
      </c>
      <c r="C62" s="4" t="s">
        <v>270</v>
      </c>
      <c r="D62" s="5" t="s">
        <v>271</v>
      </c>
      <c r="E62" s="4" t="s">
        <v>272</v>
      </c>
      <c r="F62" s="11" t="s">
        <v>273</v>
      </c>
      <c r="G62" s="4" t="s">
        <v>85</v>
      </c>
      <c r="H62" s="4"/>
      <c r="I62" s="4"/>
      <c r="J62" s="4"/>
      <c r="K62" s="6">
        <v>1</v>
      </c>
      <c r="L62" s="6" t="str">
        <f>VLOOKUP(K62, 'Maturity Scale'!A:B,2,FALSE)</f>
        <v>Partial</v>
      </c>
      <c r="M62" s="7">
        <v>3</v>
      </c>
      <c r="N62" s="7" t="str">
        <f>VLOOKUP(M62,'Maturity Scale'!A:B,2,FALSE)</f>
        <v>Repeatable</v>
      </c>
      <c r="O62" s="15">
        <f t="shared" si="0"/>
        <v>2</v>
      </c>
      <c r="P62" s="18" t="s">
        <v>555</v>
      </c>
    </row>
    <row r="63" spans="1:16" ht="144" customHeight="1" x14ac:dyDescent="0.35">
      <c r="A63" s="4" t="s">
        <v>239</v>
      </c>
      <c r="B63" s="4" t="s">
        <v>274</v>
      </c>
      <c r="C63" s="4" t="s">
        <v>275</v>
      </c>
      <c r="D63" s="5" t="s">
        <v>276</v>
      </c>
      <c r="E63" s="4" t="s">
        <v>277</v>
      </c>
      <c r="F63" s="11" t="s">
        <v>278</v>
      </c>
      <c r="G63" s="4" t="s">
        <v>142</v>
      </c>
      <c r="H63" s="4"/>
      <c r="I63" s="4"/>
      <c r="J63" s="4"/>
      <c r="K63" s="6">
        <v>3</v>
      </c>
      <c r="L63" s="6" t="str">
        <f>VLOOKUP(K63, 'Maturity Scale'!A:B,2,FALSE)</f>
        <v>Repeatable</v>
      </c>
      <c r="M63" s="7">
        <v>3</v>
      </c>
      <c r="N63" s="7" t="str">
        <f>VLOOKUP(M63,'Maturity Scale'!A:B,2,FALSE)</f>
        <v>Repeatable</v>
      </c>
      <c r="O63" s="15">
        <f t="shared" si="0"/>
        <v>0</v>
      </c>
      <c r="P63" s="18" t="s">
        <v>556</v>
      </c>
    </row>
    <row r="64" spans="1:16" ht="176" customHeight="1" x14ac:dyDescent="0.35">
      <c r="A64" s="4" t="s">
        <v>239</v>
      </c>
      <c r="B64" s="4" t="s">
        <v>274</v>
      </c>
      <c r="C64" s="4" t="s">
        <v>279</v>
      </c>
      <c r="D64" s="5" t="s">
        <v>280</v>
      </c>
      <c r="E64" s="4" t="s">
        <v>281</v>
      </c>
      <c r="F64" s="11" t="s">
        <v>282</v>
      </c>
      <c r="G64" s="4" t="s">
        <v>142</v>
      </c>
      <c r="H64" s="4"/>
      <c r="I64" s="4"/>
      <c r="J64" s="4"/>
      <c r="K64" s="6">
        <v>3</v>
      </c>
      <c r="L64" s="6" t="str">
        <f>VLOOKUP(K64, 'Maturity Scale'!A:B,2,FALSE)</f>
        <v>Repeatable</v>
      </c>
      <c r="M64" s="7">
        <v>3</v>
      </c>
      <c r="N64" s="7" t="str">
        <f>VLOOKUP(M64,'Maturity Scale'!A:B,2,FALSE)</f>
        <v>Repeatable</v>
      </c>
      <c r="O64" s="15">
        <f t="shared" si="0"/>
        <v>0</v>
      </c>
      <c r="P64" s="18" t="s">
        <v>557</v>
      </c>
    </row>
    <row r="65" spans="1:16" ht="112" customHeight="1" x14ac:dyDescent="0.35">
      <c r="A65" s="4" t="s">
        <v>239</v>
      </c>
      <c r="B65" s="4" t="s">
        <v>274</v>
      </c>
      <c r="C65" s="4" t="s">
        <v>283</v>
      </c>
      <c r="D65" s="5" t="s">
        <v>284</v>
      </c>
      <c r="E65" s="4" t="s">
        <v>285</v>
      </c>
      <c r="F65" s="11" t="s">
        <v>286</v>
      </c>
      <c r="G65" s="4" t="s">
        <v>142</v>
      </c>
      <c r="H65" s="4"/>
      <c r="I65" s="4"/>
      <c r="J65" s="4"/>
      <c r="K65" s="6">
        <v>3</v>
      </c>
      <c r="L65" s="6" t="str">
        <f>VLOOKUP(K65, 'Maturity Scale'!A:B,2,FALSE)</f>
        <v>Repeatable</v>
      </c>
      <c r="M65" s="7">
        <v>3</v>
      </c>
      <c r="N65" s="7" t="str">
        <f>VLOOKUP(M65,'Maturity Scale'!A:B,2,FALSE)</f>
        <v>Repeatable</v>
      </c>
      <c r="O65" s="15">
        <f t="shared" si="0"/>
        <v>0</v>
      </c>
      <c r="P65" s="18" t="s">
        <v>556</v>
      </c>
    </row>
    <row r="66" spans="1:16" ht="128" customHeight="1" x14ac:dyDescent="0.35">
      <c r="A66" s="4" t="s">
        <v>239</v>
      </c>
      <c r="B66" s="4" t="s">
        <v>274</v>
      </c>
      <c r="C66" s="4" t="s">
        <v>287</v>
      </c>
      <c r="D66" s="5" t="s">
        <v>288</v>
      </c>
      <c r="E66" s="4" t="s">
        <v>289</v>
      </c>
      <c r="F66" s="11" t="s">
        <v>290</v>
      </c>
      <c r="G66" s="4" t="s">
        <v>34</v>
      </c>
      <c r="H66" s="4"/>
      <c r="I66" s="4"/>
      <c r="J66" s="4"/>
      <c r="K66" s="6">
        <v>3</v>
      </c>
      <c r="L66" s="6" t="str">
        <f>VLOOKUP(K66, 'Maturity Scale'!A:B,2,FALSE)</f>
        <v>Repeatable</v>
      </c>
      <c r="M66" s="7">
        <v>3</v>
      </c>
      <c r="N66" s="7" t="str">
        <f>VLOOKUP(M66,'Maturity Scale'!A:B,2,FALSE)</f>
        <v>Repeatable</v>
      </c>
      <c r="O66" s="15">
        <f t="shared" si="0"/>
        <v>0</v>
      </c>
      <c r="P66" s="18" t="s">
        <v>558</v>
      </c>
    </row>
    <row r="67" spans="1:16" ht="128" customHeight="1" x14ac:dyDescent="0.35">
      <c r="A67" s="4" t="s">
        <v>239</v>
      </c>
      <c r="B67" s="4" t="s">
        <v>291</v>
      </c>
      <c r="C67" s="4" t="s">
        <v>292</v>
      </c>
      <c r="D67" s="5" t="s">
        <v>293</v>
      </c>
      <c r="E67" s="4" t="s">
        <v>294</v>
      </c>
      <c r="F67" s="11" t="s">
        <v>295</v>
      </c>
      <c r="G67" s="4" t="s">
        <v>296</v>
      </c>
      <c r="H67" s="4"/>
      <c r="I67" s="4"/>
      <c r="J67" s="4"/>
      <c r="K67" s="6">
        <v>1</v>
      </c>
      <c r="L67" s="6" t="str">
        <f>VLOOKUP(K67, 'Maturity Scale'!A:B,2,FALSE)</f>
        <v>Partial</v>
      </c>
      <c r="M67" s="7">
        <v>3</v>
      </c>
      <c r="N67" s="7" t="str">
        <f>VLOOKUP(M67,'Maturity Scale'!A:B,2,FALSE)</f>
        <v>Repeatable</v>
      </c>
      <c r="O67" s="15">
        <f t="shared" si="0"/>
        <v>2</v>
      </c>
      <c r="P67" s="18" t="s">
        <v>559</v>
      </c>
    </row>
    <row r="68" spans="1:16" ht="192" customHeight="1" x14ac:dyDescent="0.35">
      <c r="A68" s="4" t="s">
        <v>239</v>
      </c>
      <c r="B68" s="4" t="s">
        <v>291</v>
      </c>
      <c r="C68" s="4" t="s">
        <v>297</v>
      </c>
      <c r="D68" s="5" t="s">
        <v>298</v>
      </c>
      <c r="E68" s="4" t="s">
        <v>299</v>
      </c>
      <c r="F68" s="11" t="s">
        <v>300</v>
      </c>
      <c r="G68" s="4" t="s">
        <v>34</v>
      </c>
      <c r="H68" s="4"/>
      <c r="I68" s="4"/>
      <c r="J68" s="4"/>
      <c r="K68" s="6">
        <v>1</v>
      </c>
      <c r="L68" s="6" t="str">
        <f>VLOOKUP(K68, 'Maturity Scale'!A:B,2,FALSE)</f>
        <v>Partial</v>
      </c>
      <c r="M68" s="7">
        <v>3</v>
      </c>
      <c r="N68" s="7" t="str">
        <f>VLOOKUP(M68,'Maturity Scale'!A:B,2,FALSE)</f>
        <v>Repeatable</v>
      </c>
      <c r="O68" s="15">
        <f t="shared" ref="O68:O108" si="1">M68-K68</f>
        <v>2</v>
      </c>
      <c r="P68" s="18" t="s">
        <v>560</v>
      </c>
    </row>
    <row r="69" spans="1:16" ht="96" customHeight="1" x14ac:dyDescent="0.35">
      <c r="A69" s="4" t="s">
        <v>239</v>
      </c>
      <c r="B69" s="4" t="s">
        <v>291</v>
      </c>
      <c r="C69" s="4" t="s">
        <v>301</v>
      </c>
      <c r="D69" s="5" t="s">
        <v>302</v>
      </c>
      <c r="E69" s="4" t="s">
        <v>303</v>
      </c>
      <c r="F69" s="11" t="s">
        <v>304</v>
      </c>
      <c r="G69" s="4" t="s">
        <v>34</v>
      </c>
      <c r="H69" s="4"/>
      <c r="I69" s="4"/>
      <c r="J69" s="4"/>
      <c r="K69" s="6">
        <v>1</v>
      </c>
      <c r="L69" s="6" t="str">
        <f>VLOOKUP(K69, 'Maturity Scale'!A:B,2,FALSE)</f>
        <v>Partial</v>
      </c>
      <c r="M69" s="7">
        <v>3</v>
      </c>
      <c r="N69" s="7" t="str">
        <f>VLOOKUP(M69,'Maturity Scale'!A:B,2,FALSE)</f>
        <v>Repeatable</v>
      </c>
      <c r="O69" s="15">
        <f t="shared" si="1"/>
        <v>2</v>
      </c>
      <c r="P69" s="18" t="s">
        <v>561</v>
      </c>
    </row>
    <row r="70" spans="1:16" ht="96" customHeight="1" x14ac:dyDescent="0.35">
      <c r="A70" s="4" t="s">
        <v>239</v>
      </c>
      <c r="B70" s="4" t="s">
        <v>291</v>
      </c>
      <c r="C70" s="4" t="s">
        <v>305</v>
      </c>
      <c r="D70" s="5" t="s">
        <v>306</v>
      </c>
      <c r="E70" s="4" t="s">
        <v>307</v>
      </c>
      <c r="F70" s="11" t="s">
        <v>308</v>
      </c>
      <c r="G70" s="4" t="s">
        <v>34</v>
      </c>
      <c r="H70" s="4"/>
      <c r="I70" s="4"/>
      <c r="J70" s="4"/>
      <c r="K70" s="6">
        <v>2</v>
      </c>
      <c r="L70" s="6" t="str">
        <f>VLOOKUP(K70, 'Maturity Scale'!A:B,2,FALSE)</f>
        <v>Risk Informed</v>
      </c>
      <c r="M70" s="7">
        <v>3</v>
      </c>
      <c r="N70" s="7" t="str">
        <f>VLOOKUP(M70,'Maturity Scale'!A:B,2,FALSE)</f>
        <v>Repeatable</v>
      </c>
      <c r="O70" s="15">
        <f t="shared" si="1"/>
        <v>1</v>
      </c>
      <c r="P70" s="18" t="s">
        <v>562</v>
      </c>
    </row>
    <row r="71" spans="1:16" ht="144" customHeight="1" x14ac:dyDescent="0.35">
      <c r="A71" s="4" t="s">
        <v>239</v>
      </c>
      <c r="B71" s="4" t="s">
        <v>291</v>
      </c>
      <c r="C71" s="4" t="s">
        <v>309</v>
      </c>
      <c r="D71" s="5" t="s">
        <v>310</v>
      </c>
      <c r="E71" s="4" t="s">
        <v>311</v>
      </c>
      <c r="F71" s="11" t="s">
        <v>312</v>
      </c>
      <c r="G71" s="4" t="s">
        <v>34</v>
      </c>
      <c r="H71" s="4"/>
      <c r="I71" s="4"/>
      <c r="J71" s="4"/>
      <c r="K71" s="6">
        <v>1</v>
      </c>
      <c r="L71" s="6" t="str">
        <f>VLOOKUP(K71, 'Maturity Scale'!A:B,2,FALSE)</f>
        <v>Partial</v>
      </c>
      <c r="M71" s="7">
        <v>3</v>
      </c>
      <c r="N71" s="7" t="str">
        <f>VLOOKUP(M71,'Maturity Scale'!A:B,2,FALSE)</f>
        <v>Repeatable</v>
      </c>
      <c r="O71" s="15">
        <f t="shared" si="1"/>
        <v>2</v>
      </c>
      <c r="P71" s="18" t="s">
        <v>561</v>
      </c>
    </row>
    <row r="72" spans="1:16" ht="112" customHeight="1" x14ac:dyDescent="0.35">
      <c r="A72" s="4" t="s">
        <v>239</v>
      </c>
      <c r="B72" s="4" t="s">
        <v>291</v>
      </c>
      <c r="C72" s="4" t="s">
        <v>313</v>
      </c>
      <c r="D72" s="5" t="s">
        <v>314</v>
      </c>
      <c r="E72" s="4" t="s">
        <v>315</v>
      </c>
      <c r="F72" s="12" t="s">
        <v>316</v>
      </c>
      <c r="G72" s="4" t="s">
        <v>317</v>
      </c>
      <c r="H72" s="4"/>
      <c r="I72" s="4"/>
      <c r="J72" s="4"/>
      <c r="K72" s="6" t="s">
        <v>522</v>
      </c>
      <c r="L72" s="6" t="str">
        <f>VLOOKUP(K72, 'Maturity Scale'!A:B,2,FALSE)</f>
        <v>TBD</v>
      </c>
      <c r="M72" s="7"/>
      <c r="N72" s="7" t="e">
        <f>VLOOKUP(M72,'Maturity Scale'!A:B,2,FALSE)</f>
        <v>#N/A</v>
      </c>
      <c r="O72" s="15" t="e">
        <f t="shared" si="1"/>
        <v>#VALUE!</v>
      </c>
      <c r="P72" s="18"/>
    </row>
    <row r="73" spans="1:16" ht="176" customHeight="1" x14ac:dyDescent="0.35">
      <c r="A73" s="4" t="s">
        <v>239</v>
      </c>
      <c r="B73" s="4" t="s">
        <v>318</v>
      </c>
      <c r="C73" s="4" t="s">
        <v>319</v>
      </c>
      <c r="D73" s="5" t="s">
        <v>320</v>
      </c>
      <c r="E73" s="4" t="s">
        <v>321</v>
      </c>
      <c r="F73" s="11" t="s">
        <v>322</v>
      </c>
      <c r="G73" s="4" t="s">
        <v>34</v>
      </c>
      <c r="H73" s="4"/>
      <c r="I73" s="4"/>
      <c r="J73" s="4"/>
      <c r="K73" s="6">
        <v>3</v>
      </c>
      <c r="L73" s="6" t="str">
        <f>VLOOKUP(K73, 'Maturity Scale'!A:B,2,FALSE)</f>
        <v>Repeatable</v>
      </c>
      <c r="M73" s="7">
        <v>3</v>
      </c>
      <c r="N73" s="7" t="str">
        <f>VLOOKUP(M73,'Maturity Scale'!A:B,2,FALSE)</f>
        <v>Repeatable</v>
      </c>
      <c r="O73" s="15">
        <f t="shared" si="1"/>
        <v>0</v>
      </c>
      <c r="P73" s="18" t="s">
        <v>563</v>
      </c>
    </row>
    <row r="74" spans="1:16" ht="80" customHeight="1" x14ac:dyDescent="0.35">
      <c r="A74" s="4" t="s">
        <v>239</v>
      </c>
      <c r="B74" s="4" t="s">
        <v>318</v>
      </c>
      <c r="C74" s="4" t="s">
        <v>323</v>
      </c>
      <c r="D74" s="5" t="s">
        <v>324</v>
      </c>
      <c r="E74" s="4" t="s">
        <v>325</v>
      </c>
      <c r="F74" s="11" t="s">
        <v>326</v>
      </c>
      <c r="G74" s="4" t="s">
        <v>296</v>
      </c>
      <c r="H74" s="4"/>
      <c r="I74" s="4"/>
      <c r="J74" s="4"/>
      <c r="K74" s="6">
        <v>3</v>
      </c>
      <c r="L74" s="6" t="str">
        <f>VLOOKUP(K74, 'Maturity Scale'!A:B,2,FALSE)</f>
        <v>Repeatable</v>
      </c>
      <c r="M74" s="7">
        <v>3</v>
      </c>
      <c r="N74" s="7" t="str">
        <f>VLOOKUP(M74,'Maturity Scale'!A:B,2,FALSE)</f>
        <v>Repeatable</v>
      </c>
      <c r="O74" s="15">
        <f t="shared" si="1"/>
        <v>0</v>
      </c>
      <c r="P74" s="18" t="s">
        <v>564</v>
      </c>
    </row>
    <row r="75" spans="1:16" ht="128" customHeight="1" x14ac:dyDescent="0.35">
      <c r="A75" s="4" t="s">
        <v>239</v>
      </c>
      <c r="B75" s="4" t="s">
        <v>318</v>
      </c>
      <c r="C75" s="4" t="s">
        <v>327</v>
      </c>
      <c r="D75" s="5" t="s">
        <v>328</v>
      </c>
      <c r="E75" s="4" t="s">
        <v>329</v>
      </c>
      <c r="F75" s="11" t="s">
        <v>330</v>
      </c>
      <c r="G75" s="4" t="s">
        <v>34</v>
      </c>
      <c r="H75" s="4"/>
      <c r="I75" s="4"/>
      <c r="J75" s="4"/>
      <c r="K75" s="6">
        <v>3</v>
      </c>
      <c r="L75" s="6" t="str">
        <f>VLOOKUP(K75, 'Maturity Scale'!A:B,2,FALSE)</f>
        <v>Repeatable</v>
      </c>
      <c r="M75" s="7">
        <v>3</v>
      </c>
      <c r="N75" s="7" t="str">
        <f>VLOOKUP(M75,'Maturity Scale'!A:B,2,FALSE)</f>
        <v>Repeatable</v>
      </c>
      <c r="O75" s="15">
        <f t="shared" si="1"/>
        <v>0</v>
      </c>
      <c r="P75" s="18" t="s">
        <v>564</v>
      </c>
    </row>
    <row r="76" spans="1:16" ht="48" customHeight="1" x14ac:dyDescent="0.35">
      <c r="A76" s="4" t="s">
        <v>239</v>
      </c>
      <c r="B76" s="4" t="s">
        <v>318</v>
      </c>
      <c r="C76" s="4" t="s">
        <v>331</v>
      </c>
      <c r="D76" s="5" t="s">
        <v>332</v>
      </c>
      <c r="E76" s="4" t="s">
        <v>333</v>
      </c>
      <c r="F76" s="11" t="s">
        <v>334</v>
      </c>
      <c r="G76" s="4" t="s">
        <v>317</v>
      </c>
      <c r="H76" s="4"/>
      <c r="I76" s="4"/>
      <c r="J76" s="4"/>
      <c r="K76" s="6">
        <v>3</v>
      </c>
      <c r="L76" s="6" t="str">
        <f>VLOOKUP(K76, 'Maturity Scale'!A:B,2,FALSE)</f>
        <v>Repeatable</v>
      </c>
      <c r="M76" s="7"/>
      <c r="N76" s="7" t="e">
        <f>VLOOKUP(M76,'Maturity Scale'!A:B,2,FALSE)</f>
        <v>#N/A</v>
      </c>
      <c r="O76" s="15">
        <f t="shared" si="1"/>
        <v>-3</v>
      </c>
      <c r="P76" s="18" t="s">
        <v>564</v>
      </c>
    </row>
    <row r="77" spans="1:16" ht="128" customHeight="1" x14ac:dyDescent="0.35">
      <c r="A77" s="4" t="s">
        <v>335</v>
      </c>
      <c r="B77" s="4" t="s">
        <v>336</v>
      </c>
      <c r="C77" s="4" t="s">
        <v>337</v>
      </c>
      <c r="D77" s="5" t="s">
        <v>338</v>
      </c>
      <c r="E77" s="4" t="s">
        <v>339</v>
      </c>
      <c r="F77" s="11" t="s">
        <v>340</v>
      </c>
      <c r="G77" s="4" t="s">
        <v>341</v>
      </c>
      <c r="H77" s="4"/>
      <c r="I77" s="4"/>
      <c r="J77" s="4"/>
      <c r="K77" s="6">
        <v>3</v>
      </c>
      <c r="L77" s="6" t="str">
        <f>VLOOKUP(K77, 'Maturity Scale'!A:B,2,FALSE)</f>
        <v>Repeatable</v>
      </c>
      <c r="M77" s="7">
        <v>3</v>
      </c>
      <c r="N77" s="7" t="str">
        <f>VLOOKUP(M77,'Maturity Scale'!A:B,2,FALSE)</f>
        <v>Repeatable</v>
      </c>
      <c r="O77" s="15">
        <f t="shared" si="1"/>
        <v>0</v>
      </c>
      <c r="P77" s="18" t="s">
        <v>565</v>
      </c>
    </row>
    <row r="78" spans="1:16" ht="144" customHeight="1" x14ac:dyDescent="0.35">
      <c r="A78" s="4" t="s">
        <v>335</v>
      </c>
      <c r="B78" s="4" t="s">
        <v>336</v>
      </c>
      <c r="C78" s="4" t="s">
        <v>342</v>
      </c>
      <c r="D78" s="5" t="s">
        <v>343</v>
      </c>
      <c r="E78" s="4" t="s">
        <v>344</v>
      </c>
      <c r="F78" s="11" t="s">
        <v>345</v>
      </c>
      <c r="G78" s="4" t="s">
        <v>20</v>
      </c>
      <c r="H78" s="4"/>
      <c r="I78" s="4"/>
      <c r="J78" s="4"/>
      <c r="K78" s="6">
        <v>1</v>
      </c>
      <c r="L78" s="6" t="str">
        <f>VLOOKUP(K78, 'Maturity Scale'!A:B,2,FALSE)</f>
        <v>Partial</v>
      </c>
      <c r="M78" s="7">
        <v>3</v>
      </c>
      <c r="N78" s="7" t="str">
        <f>VLOOKUP(M78,'Maturity Scale'!A:B,2,FALSE)</f>
        <v>Repeatable</v>
      </c>
      <c r="O78" s="15">
        <f t="shared" si="1"/>
        <v>2</v>
      </c>
      <c r="P78" s="18" t="s">
        <v>560</v>
      </c>
    </row>
    <row r="79" spans="1:16" ht="96" customHeight="1" x14ac:dyDescent="0.35">
      <c r="A79" s="4" t="s">
        <v>335</v>
      </c>
      <c r="B79" s="4" t="s">
        <v>336</v>
      </c>
      <c r="C79" s="4" t="s">
        <v>346</v>
      </c>
      <c r="D79" s="5" t="s">
        <v>347</v>
      </c>
      <c r="E79" s="4" t="s">
        <v>348</v>
      </c>
      <c r="F79" s="11" t="s">
        <v>349</v>
      </c>
      <c r="G79" s="4" t="s">
        <v>34</v>
      </c>
      <c r="H79" s="4"/>
      <c r="I79" s="4"/>
      <c r="J79" s="4"/>
      <c r="K79" s="6">
        <v>3</v>
      </c>
      <c r="L79" s="6" t="str">
        <f>VLOOKUP(K79, 'Maturity Scale'!A:B,2,FALSE)</f>
        <v>Repeatable</v>
      </c>
      <c r="M79" s="7">
        <v>3</v>
      </c>
      <c r="N79" s="7" t="str">
        <f>VLOOKUP(M79,'Maturity Scale'!A:B,2,FALSE)</f>
        <v>Repeatable</v>
      </c>
      <c r="O79" s="15">
        <f t="shared" si="1"/>
        <v>0</v>
      </c>
      <c r="P79" s="18" t="s">
        <v>565</v>
      </c>
    </row>
    <row r="80" spans="1:16" ht="80" customHeight="1" x14ac:dyDescent="0.35">
      <c r="A80" s="4" t="s">
        <v>335</v>
      </c>
      <c r="B80" s="4" t="s">
        <v>336</v>
      </c>
      <c r="C80" s="4" t="s">
        <v>350</v>
      </c>
      <c r="D80" s="5" t="s">
        <v>351</v>
      </c>
      <c r="E80" s="4" t="s">
        <v>352</v>
      </c>
      <c r="F80" s="11" t="s">
        <v>353</v>
      </c>
      <c r="G80" s="4" t="s">
        <v>341</v>
      </c>
      <c r="H80" s="4"/>
      <c r="I80" s="4"/>
      <c r="J80" s="4"/>
      <c r="K80" s="6">
        <v>3</v>
      </c>
      <c r="L80" s="6" t="str">
        <f>VLOOKUP(K80, 'Maturity Scale'!A:B,2,FALSE)</f>
        <v>Repeatable</v>
      </c>
      <c r="M80" s="7">
        <v>3</v>
      </c>
      <c r="N80" s="7" t="str">
        <f>VLOOKUP(M80,'Maturity Scale'!A:B,2,FALSE)</f>
        <v>Repeatable</v>
      </c>
      <c r="O80" s="15">
        <f t="shared" si="1"/>
        <v>0</v>
      </c>
      <c r="P80" s="18" t="s">
        <v>565</v>
      </c>
    </row>
    <row r="81" spans="1:16" ht="192" customHeight="1" x14ac:dyDescent="0.35">
      <c r="A81" s="4" t="s">
        <v>335</v>
      </c>
      <c r="B81" s="4" t="s">
        <v>336</v>
      </c>
      <c r="C81" s="4" t="s">
        <v>354</v>
      </c>
      <c r="D81" s="5" t="s">
        <v>355</v>
      </c>
      <c r="E81" s="4" t="s">
        <v>356</v>
      </c>
      <c r="F81" s="11" t="s">
        <v>357</v>
      </c>
      <c r="G81" s="4" t="s">
        <v>341</v>
      </c>
      <c r="H81" s="4"/>
      <c r="I81" s="4"/>
      <c r="J81" s="4"/>
      <c r="K81" s="6">
        <v>3</v>
      </c>
      <c r="L81" s="6" t="str">
        <f>VLOOKUP(K81, 'Maturity Scale'!A:B,2,FALSE)</f>
        <v>Repeatable</v>
      </c>
      <c r="M81" s="7">
        <v>3</v>
      </c>
      <c r="N81" s="7" t="str">
        <f>VLOOKUP(M81,'Maturity Scale'!A:B,2,FALSE)</f>
        <v>Repeatable</v>
      </c>
      <c r="O81" s="15">
        <f t="shared" si="1"/>
        <v>0</v>
      </c>
      <c r="P81" s="18" t="s">
        <v>565</v>
      </c>
    </row>
    <row r="82" spans="1:16" ht="144" customHeight="1" x14ac:dyDescent="0.35">
      <c r="A82" s="4" t="s">
        <v>335</v>
      </c>
      <c r="B82" s="4" t="s">
        <v>358</v>
      </c>
      <c r="C82" s="4" t="s">
        <v>359</v>
      </c>
      <c r="D82" s="5" t="s">
        <v>360</v>
      </c>
      <c r="E82" s="4" t="s">
        <v>361</v>
      </c>
      <c r="F82" s="11" t="s">
        <v>362</v>
      </c>
      <c r="G82" s="4" t="s">
        <v>341</v>
      </c>
      <c r="H82" s="4"/>
      <c r="I82" s="4"/>
      <c r="J82" s="4"/>
      <c r="K82" s="6">
        <v>3</v>
      </c>
      <c r="L82" s="6" t="str">
        <f>VLOOKUP(K82, 'Maturity Scale'!A:B,2,FALSE)</f>
        <v>Repeatable</v>
      </c>
      <c r="M82" s="7">
        <v>3</v>
      </c>
      <c r="N82" s="7" t="str">
        <f>VLOOKUP(M82,'Maturity Scale'!A:B,2,FALSE)</f>
        <v>Repeatable</v>
      </c>
      <c r="O82" s="15">
        <f t="shared" si="1"/>
        <v>0</v>
      </c>
      <c r="P82" s="18" t="s">
        <v>566</v>
      </c>
    </row>
    <row r="83" spans="1:16" ht="96" customHeight="1" x14ac:dyDescent="0.35">
      <c r="A83" s="4" t="s">
        <v>335</v>
      </c>
      <c r="B83" s="4" t="s">
        <v>358</v>
      </c>
      <c r="C83" s="4" t="s">
        <v>363</v>
      </c>
      <c r="D83" s="5" t="s">
        <v>364</v>
      </c>
      <c r="E83" s="4" t="s">
        <v>365</v>
      </c>
      <c r="F83" s="11" t="s">
        <v>366</v>
      </c>
      <c r="G83" s="4" t="s">
        <v>341</v>
      </c>
      <c r="H83" s="4"/>
      <c r="I83" s="4"/>
      <c r="J83" s="4"/>
      <c r="K83" s="6">
        <v>2</v>
      </c>
      <c r="L83" s="6" t="str">
        <f>VLOOKUP(K83, 'Maturity Scale'!A:B,2,FALSE)</f>
        <v>Risk Informed</v>
      </c>
      <c r="M83" s="7">
        <v>3</v>
      </c>
      <c r="N83" s="7" t="str">
        <f>VLOOKUP(M83,'Maturity Scale'!A:B,2,FALSE)</f>
        <v>Repeatable</v>
      </c>
      <c r="O83" s="15">
        <f t="shared" si="1"/>
        <v>1</v>
      </c>
      <c r="P83" s="18" t="s">
        <v>567</v>
      </c>
    </row>
    <row r="84" spans="1:16" ht="48" customHeight="1" x14ac:dyDescent="0.35">
      <c r="A84" s="4" t="s">
        <v>335</v>
      </c>
      <c r="B84" s="4" t="s">
        <v>358</v>
      </c>
      <c r="C84" s="4" t="s">
        <v>367</v>
      </c>
      <c r="D84" s="5" t="s">
        <v>368</v>
      </c>
      <c r="E84" s="4" t="s">
        <v>369</v>
      </c>
      <c r="F84" s="11" t="s">
        <v>370</v>
      </c>
      <c r="G84" s="4" t="s">
        <v>341</v>
      </c>
      <c r="H84" s="4"/>
      <c r="I84" s="4"/>
      <c r="J84" s="4"/>
      <c r="K84" s="6">
        <v>3</v>
      </c>
      <c r="L84" s="6" t="str">
        <f>VLOOKUP(K84, 'Maturity Scale'!A:B,2,FALSE)</f>
        <v>Repeatable</v>
      </c>
      <c r="M84" s="7">
        <v>3</v>
      </c>
      <c r="N84" s="7" t="str">
        <f>VLOOKUP(M84,'Maturity Scale'!A:B,2,FALSE)</f>
        <v>Repeatable</v>
      </c>
      <c r="O84" s="15">
        <f t="shared" si="1"/>
        <v>0</v>
      </c>
      <c r="P84" s="18" t="s">
        <v>568</v>
      </c>
    </row>
    <row r="85" spans="1:16" ht="144" customHeight="1" x14ac:dyDescent="0.35">
      <c r="A85" s="4" t="s">
        <v>335</v>
      </c>
      <c r="B85" s="4" t="s">
        <v>358</v>
      </c>
      <c r="C85" s="4" t="s">
        <v>371</v>
      </c>
      <c r="D85" s="5" t="s">
        <v>372</v>
      </c>
      <c r="E85" s="4" t="s">
        <v>373</v>
      </c>
      <c r="F85" s="11" t="s">
        <v>374</v>
      </c>
      <c r="G85" s="4" t="s">
        <v>341</v>
      </c>
      <c r="H85" s="4"/>
      <c r="I85" s="4"/>
      <c r="J85" s="4"/>
      <c r="K85" s="6">
        <v>3</v>
      </c>
      <c r="L85" s="6" t="str">
        <f>VLOOKUP(K85, 'Maturity Scale'!A:B,2,FALSE)</f>
        <v>Repeatable</v>
      </c>
      <c r="M85" s="7">
        <v>3</v>
      </c>
      <c r="N85" s="7" t="str">
        <f>VLOOKUP(M85,'Maturity Scale'!A:B,2,FALSE)</f>
        <v>Repeatable</v>
      </c>
      <c r="O85" s="15">
        <f t="shared" si="1"/>
        <v>0</v>
      </c>
      <c r="P85" s="18" t="s">
        <v>569</v>
      </c>
    </row>
    <row r="86" spans="1:16" ht="112" customHeight="1" x14ac:dyDescent="0.35">
      <c r="A86" s="4" t="s">
        <v>335</v>
      </c>
      <c r="B86" s="4" t="s">
        <v>358</v>
      </c>
      <c r="C86" s="4" t="s">
        <v>375</v>
      </c>
      <c r="D86" s="5" t="s">
        <v>376</v>
      </c>
      <c r="E86" s="4" t="s">
        <v>377</v>
      </c>
      <c r="F86" s="11" t="s">
        <v>378</v>
      </c>
      <c r="G86" s="4" t="s">
        <v>341</v>
      </c>
      <c r="H86" s="4"/>
      <c r="I86" s="4"/>
      <c r="J86" s="4"/>
      <c r="K86" s="6">
        <v>2</v>
      </c>
      <c r="L86" s="6" t="str">
        <f>VLOOKUP(K86, 'Maturity Scale'!A:B,2,FALSE)</f>
        <v>Risk Informed</v>
      </c>
      <c r="M86" s="7">
        <v>3</v>
      </c>
      <c r="N86" s="7" t="str">
        <f>VLOOKUP(M86,'Maturity Scale'!A:B,2,FALSE)</f>
        <v>Repeatable</v>
      </c>
      <c r="O86" s="15">
        <f t="shared" si="1"/>
        <v>1</v>
      </c>
      <c r="P86" s="18" t="s">
        <v>570</v>
      </c>
    </row>
    <row r="87" spans="1:16" ht="64" customHeight="1" x14ac:dyDescent="0.35">
      <c r="A87" s="4" t="s">
        <v>335</v>
      </c>
      <c r="B87" s="4" t="s">
        <v>358</v>
      </c>
      <c r="C87" s="4" t="s">
        <v>379</v>
      </c>
      <c r="D87" s="5" t="s">
        <v>380</v>
      </c>
      <c r="E87" s="4" t="s">
        <v>381</v>
      </c>
      <c r="F87" s="11" t="s">
        <v>382</v>
      </c>
      <c r="G87" s="4" t="s">
        <v>341</v>
      </c>
      <c r="H87" s="4"/>
      <c r="I87" s="4"/>
      <c r="J87" s="4"/>
      <c r="K87" s="6">
        <v>3</v>
      </c>
      <c r="L87" s="6" t="str">
        <f>VLOOKUP(K87, 'Maturity Scale'!A:B,2,FALSE)</f>
        <v>Repeatable</v>
      </c>
      <c r="M87" s="7">
        <v>3</v>
      </c>
      <c r="N87" s="7" t="str">
        <f>VLOOKUP(M87,'Maturity Scale'!A:B,2,FALSE)</f>
        <v>Repeatable</v>
      </c>
      <c r="O87" s="15">
        <f t="shared" si="1"/>
        <v>0</v>
      </c>
      <c r="P87" s="18" t="s">
        <v>571</v>
      </c>
    </row>
    <row r="88" spans="1:16" ht="112" customHeight="1" x14ac:dyDescent="0.35">
      <c r="A88" s="4" t="s">
        <v>383</v>
      </c>
      <c r="B88" s="4" t="s">
        <v>384</v>
      </c>
      <c r="C88" s="4" t="s">
        <v>385</v>
      </c>
      <c r="D88" s="5" t="s">
        <v>386</v>
      </c>
      <c r="E88" s="4" t="s">
        <v>387</v>
      </c>
      <c r="F88" s="11" t="s">
        <v>388</v>
      </c>
      <c r="G88" s="4" t="s">
        <v>142</v>
      </c>
      <c r="H88" s="4"/>
      <c r="I88" s="4"/>
      <c r="J88" s="4"/>
      <c r="K88" s="6">
        <v>2</v>
      </c>
      <c r="L88" s="6" t="str">
        <f>VLOOKUP(K88, 'Maturity Scale'!A:B,2,FALSE)</f>
        <v>Risk Informed</v>
      </c>
      <c r="M88" s="7">
        <v>3</v>
      </c>
      <c r="N88" s="7" t="str">
        <f>VLOOKUP(M88,'Maturity Scale'!A:B,2,FALSE)</f>
        <v>Repeatable</v>
      </c>
      <c r="O88" s="15">
        <f t="shared" si="1"/>
        <v>1</v>
      </c>
      <c r="P88" s="18" t="s">
        <v>572</v>
      </c>
    </row>
    <row r="89" spans="1:16" ht="48" customHeight="1" x14ac:dyDescent="0.35">
      <c r="A89" s="4" t="s">
        <v>383</v>
      </c>
      <c r="B89" s="4" t="s">
        <v>384</v>
      </c>
      <c r="C89" s="4" t="s">
        <v>389</v>
      </c>
      <c r="D89" s="5" t="s">
        <v>390</v>
      </c>
      <c r="E89" s="4" t="s">
        <v>391</v>
      </c>
      <c r="F89" s="11" t="s">
        <v>392</v>
      </c>
      <c r="G89" s="4" t="s">
        <v>142</v>
      </c>
      <c r="H89" s="4"/>
      <c r="I89" s="4"/>
      <c r="J89" s="4"/>
      <c r="K89" s="6">
        <v>3</v>
      </c>
      <c r="L89" s="6" t="str">
        <f>VLOOKUP(K89, 'Maturity Scale'!A:B,2,FALSE)</f>
        <v>Repeatable</v>
      </c>
      <c r="M89" s="7">
        <v>3</v>
      </c>
      <c r="N89" s="7" t="str">
        <f>VLOOKUP(M89,'Maturity Scale'!A:B,2,FALSE)</f>
        <v>Repeatable</v>
      </c>
      <c r="O89" s="15">
        <f t="shared" si="1"/>
        <v>0</v>
      </c>
      <c r="P89" s="18" t="s">
        <v>573</v>
      </c>
    </row>
    <row r="90" spans="1:16" ht="112" customHeight="1" x14ac:dyDescent="0.35">
      <c r="A90" s="4" t="s">
        <v>383</v>
      </c>
      <c r="B90" s="4" t="s">
        <v>384</v>
      </c>
      <c r="C90" s="4" t="s">
        <v>393</v>
      </c>
      <c r="D90" s="5" t="s">
        <v>394</v>
      </c>
      <c r="E90" s="4" t="s">
        <v>395</v>
      </c>
      <c r="F90" s="11" t="s">
        <v>396</v>
      </c>
      <c r="G90" s="4" t="s">
        <v>142</v>
      </c>
      <c r="H90" s="4"/>
      <c r="I90" s="4"/>
      <c r="J90" s="4"/>
      <c r="K90" s="6">
        <v>3</v>
      </c>
      <c r="L90" s="6" t="str">
        <f>VLOOKUP(K90, 'Maturity Scale'!A:B,2,FALSE)</f>
        <v>Repeatable</v>
      </c>
      <c r="M90" s="7">
        <v>3</v>
      </c>
      <c r="N90" s="7" t="str">
        <f>VLOOKUP(M90,'Maturity Scale'!A:B,2,FALSE)</f>
        <v>Repeatable</v>
      </c>
      <c r="O90" s="15">
        <f t="shared" si="1"/>
        <v>0</v>
      </c>
      <c r="P90" s="18" t="s">
        <v>573</v>
      </c>
    </row>
    <row r="91" spans="1:16" ht="48" customHeight="1" x14ac:dyDescent="0.35">
      <c r="A91" s="4" t="s">
        <v>383</v>
      </c>
      <c r="B91" s="4" t="s">
        <v>384</v>
      </c>
      <c r="C91" s="4" t="s">
        <v>397</v>
      </c>
      <c r="D91" s="5" t="s">
        <v>398</v>
      </c>
      <c r="E91" s="4" t="s">
        <v>399</v>
      </c>
      <c r="F91" s="11" t="s">
        <v>400</v>
      </c>
      <c r="G91" s="4" t="s">
        <v>142</v>
      </c>
      <c r="H91" s="4"/>
      <c r="I91" s="4"/>
      <c r="J91" s="4"/>
      <c r="K91" s="6">
        <v>3</v>
      </c>
      <c r="L91" s="6" t="str">
        <f>VLOOKUP(K91, 'Maturity Scale'!A:B,2,FALSE)</f>
        <v>Repeatable</v>
      </c>
      <c r="M91" s="7">
        <v>3</v>
      </c>
      <c r="N91" s="7" t="str">
        <f>VLOOKUP(M91,'Maturity Scale'!A:B,2,FALSE)</f>
        <v>Repeatable</v>
      </c>
      <c r="O91" s="15">
        <f t="shared" si="1"/>
        <v>0</v>
      </c>
      <c r="P91" s="18" t="s">
        <v>574</v>
      </c>
    </row>
    <row r="92" spans="1:16" ht="80" customHeight="1" x14ac:dyDescent="0.35">
      <c r="A92" s="4" t="s">
        <v>383</v>
      </c>
      <c r="B92" s="4" t="s">
        <v>384</v>
      </c>
      <c r="C92" s="4" t="s">
        <v>401</v>
      </c>
      <c r="D92" s="5" t="s">
        <v>402</v>
      </c>
      <c r="E92" s="4" t="s">
        <v>403</v>
      </c>
      <c r="F92" s="11" t="s">
        <v>404</v>
      </c>
      <c r="G92" s="4" t="s">
        <v>142</v>
      </c>
      <c r="H92" s="4"/>
      <c r="I92" s="4"/>
      <c r="J92" s="4"/>
      <c r="K92" s="6">
        <v>2</v>
      </c>
      <c r="L92" s="6" t="str">
        <f>VLOOKUP(K92, 'Maturity Scale'!A:B,2,FALSE)</f>
        <v>Risk Informed</v>
      </c>
      <c r="M92" s="7">
        <v>3</v>
      </c>
      <c r="N92" s="7" t="str">
        <f>VLOOKUP(M92,'Maturity Scale'!A:B,2,FALSE)</f>
        <v>Repeatable</v>
      </c>
      <c r="O92" s="15">
        <f t="shared" si="1"/>
        <v>1</v>
      </c>
      <c r="P92" s="18" t="s">
        <v>575</v>
      </c>
    </row>
    <row r="93" spans="1:16" ht="112" customHeight="1" x14ac:dyDescent="0.35">
      <c r="A93" s="4" t="s">
        <v>383</v>
      </c>
      <c r="B93" s="4" t="s">
        <v>405</v>
      </c>
      <c r="C93" s="4" t="s">
        <v>406</v>
      </c>
      <c r="D93" s="5" t="s">
        <v>407</v>
      </c>
      <c r="E93" s="4" t="s">
        <v>408</v>
      </c>
      <c r="F93" s="11" t="s">
        <v>409</v>
      </c>
      <c r="G93" s="4" t="s">
        <v>142</v>
      </c>
      <c r="H93" s="4"/>
      <c r="I93" s="4"/>
      <c r="J93" s="4"/>
      <c r="K93" s="6">
        <v>1</v>
      </c>
      <c r="L93" s="6" t="str">
        <f>VLOOKUP(K93, 'Maturity Scale'!A:B,2,FALSE)</f>
        <v>Partial</v>
      </c>
      <c r="M93" s="7">
        <v>3</v>
      </c>
      <c r="N93" s="7" t="str">
        <f>VLOOKUP(M93,'Maturity Scale'!A:B,2,FALSE)</f>
        <v>Repeatable</v>
      </c>
      <c r="O93" s="15">
        <f t="shared" si="1"/>
        <v>2</v>
      </c>
      <c r="P93" s="18" t="s">
        <v>576</v>
      </c>
    </row>
    <row r="94" spans="1:16" ht="96" customHeight="1" x14ac:dyDescent="0.35">
      <c r="A94" s="4" t="s">
        <v>383</v>
      </c>
      <c r="B94" s="4" t="s">
        <v>405</v>
      </c>
      <c r="C94" s="4" t="s">
        <v>410</v>
      </c>
      <c r="D94" s="5" t="s">
        <v>411</v>
      </c>
      <c r="E94" s="4" t="s">
        <v>412</v>
      </c>
      <c r="F94" s="11" t="s">
        <v>413</v>
      </c>
      <c r="G94" s="4" t="s">
        <v>142</v>
      </c>
      <c r="H94" s="4"/>
      <c r="I94" s="4"/>
      <c r="J94" s="4"/>
      <c r="K94" s="6">
        <v>1</v>
      </c>
      <c r="L94" s="6" t="str">
        <f>VLOOKUP(K94, 'Maturity Scale'!A:B,2,FALSE)</f>
        <v>Partial</v>
      </c>
      <c r="M94" s="7">
        <v>3</v>
      </c>
      <c r="N94" s="7" t="str">
        <f>VLOOKUP(M94,'Maturity Scale'!A:B,2,FALSE)</f>
        <v>Repeatable</v>
      </c>
      <c r="O94" s="15">
        <f t="shared" si="1"/>
        <v>2</v>
      </c>
      <c r="P94" s="18" t="s">
        <v>561</v>
      </c>
    </row>
    <row r="95" spans="1:16" ht="48" customHeight="1" x14ac:dyDescent="0.35">
      <c r="A95" s="4" t="s">
        <v>383</v>
      </c>
      <c r="B95" s="4" t="s">
        <v>405</v>
      </c>
      <c r="C95" s="4" t="s">
        <v>414</v>
      </c>
      <c r="D95" s="5" t="s">
        <v>415</v>
      </c>
      <c r="E95" s="4" t="s">
        <v>416</v>
      </c>
      <c r="F95" s="11" t="s">
        <v>417</v>
      </c>
      <c r="G95" s="4" t="s">
        <v>142</v>
      </c>
      <c r="H95" s="4"/>
      <c r="I95" s="4"/>
      <c r="J95" s="4"/>
      <c r="K95" s="6">
        <v>1</v>
      </c>
      <c r="L95" s="6" t="str">
        <f>VLOOKUP(K95, 'Maturity Scale'!A:B,2,FALSE)</f>
        <v>Partial</v>
      </c>
      <c r="M95" s="7">
        <v>3</v>
      </c>
      <c r="N95" s="7" t="str">
        <f>VLOOKUP(M95,'Maturity Scale'!A:B,2,FALSE)</f>
        <v>Repeatable</v>
      </c>
      <c r="O95" s="15">
        <f t="shared" si="1"/>
        <v>2</v>
      </c>
      <c r="P95" s="18" t="s">
        <v>561</v>
      </c>
    </row>
    <row r="96" spans="1:16" ht="64" customHeight="1" x14ac:dyDescent="0.35">
      <c r="A96" s="4" t="s">
        <v>383</v>
      </c>
      <c r="B96" s="4" t="s">
        <v>405</v>
      </c>
      <c r="C96" s="4" t="s">
        <v>418</v>
      </c>
      <c r="D96" s="5" t="s">
        <v>419</v>
      </c>
      <c r="E96" s="4" t="s">
        <v>420</v>
      </c>
      <c r="F96" s="11" t="s">
        <v>421</v>
      </c>
      <c r="G96" s="4" t="s">
        <v>142</v>
      </c>
      <c r="H96" s="4"/>
      <c r="I96" s="4"/>
      <c r="J96" s="4"/>
      <c r="K96" s="6">
        <v>3</v>
      </c>
      <c r="L96" s="6" t="str">
        <f>VLOOKUP(K96, 'Maturity Scale'!A:B,2,FALSE)</f>
        <v>Repeatable</v>
      </c>
      <c r="M96" s="7">
        <v>3</v>
      </c>
      <c r="N96" s="7" t="str">
        <f>VLOOKUP(M96,'Maturity Scale'!A:B,2,FALSE)</f>
        <v>Repeatable</v>
      </c>
      <c r="O96" s="15">
        <f t="shared" si="1"/>
        <v>0</v>
      </c>
      <c r="P96" s="18" t="s">
        <v>577</v>
      </c>
    </row>
    <row r="97" spans="1:16" ht="128" customHeight="1" x14ac:dyDescent="0.35">
      <c r="A97" s="4" t="s">
        <v>383</v>
      </c>
      <c r="B97" s="4" t="s">
        <v>422</v>
      </c>
      <c r="C97" s="4" t="s">
        <v>423</v>
      </c>
      <c r="D97" s="5" t="s">
        <v>424</v>
      </c>
      <c r="E97" s="4" t="s">
        <v>425</v>
      </c>
      <c r="F97" s="11" t="s">
        <v>426</v>
      </c>
      <c r="G97" s="4" t="s">
        <v>142</v>
      </c>
      <c r="H97" s="4"/>
      <c r="I97" s="4"/>
      <c r="J97" s="4"/>
      <c r="K97" s="6">
        <v>3</v>
      </c>
      <c r="L97" s="6" t="str">
        <f>VLOOKUP(K97, 'Maturity Scale'!A:B,2,FALSE)</f>
        <v>Repeatable</v>
      </c>
      <c r="M97" s="7">
        <v>3</v>
      </c>
      <c r="N97" s="7" t="str">
        <f>VLOOKUP(M97,'Maturity Scale'!A:B,2,FALSE)</f>
        <v>Repeatable</v>
      </c>
      <c r="O97" s="15">
        <f t="shared" si="1"/>
        <v>0</v>
      </c>
      <c r="P97" s="18"/>
    </row>
    <row r="98" spans="1:16" ht="192" customHeight="1" x14ac:dyDescent="0.35">
      <c r="A98" s="4" t="s">
        <v>383</v>
      </c>
      <c r="B98" s="4" t="s">
        <v>422</v>
      </c>
      <c r="C98" s="4" t="s">
        <v>427</v>
      </c>
      <c r="D98" s="5" t="s">
        <v>428</v>
      </c>
      <c r="E98" s="4" t="s">
        <v>429</v>
      </c>
      <c r="F98" s="11" t="s">
        <v>430</v>
      </c>
      <c r="G98" s="4" t="s">
        <v>142</v>
      </c>
      <c r="H98" s="4"/>
      <c r="I98" s="4"/>
      <c r="J98" s="4"/>
      <c r="K98" s="6">
        <v>3</v>
      </c>
      <c r="L98" s="6" t="str">
        <f>VLOOKUP(K98, 'Maturity Scale'!A:B,2,FALSE)</f>
        <v>Repeatable</v>
      </c>
      <c r="M98" s="7">
        <v>3</v>
      </c>
      <c r="N98" s="7" t="str">
        <f>VLOOKUP(M98,'Maturity Scale'!A:B,2,FALSE)</f>
        <v>Repeatable</v>
      </c>
      <c r="O98" s="15">
        <f t="shared" si="1"/>
        <v>0</v>
      </c>
      <c r="P98" s="18"/>
    </row>
    <row r="99" spans="1:16" ht="176" customHeight="1" x14ac:dyDescent="0.35">
      <c r="A99" s="4" t="s">
        <v>383</v>
      </c>
      <c r="B99" s="4" t="s">
        <v>431</v>
      </c>
      <c r="C99" s="4" t="s">
        <v>432</v>
      </c>
      <c r="D99" s="5" t="s">
        <v>433</v>
      </c>
      <c r="E99" s="4" t="s">
        <v>434</v>
      </c>
      <c r="F99" s="11" t="s">
        <v>435</v>
      </c>
      <c r="G99" s="4" t="s">
        <v>142</v>
      </c>
      <c r="H99" s="4"/>
      <c r="I99" s="4"/>
      <c r="J99" s="4"/>
      <c r="K99" s="6">
        <v>1</v>
      </c>
      <c r="L99" s="6" t="str">
        <f>VLOOKUP(K99, 'Maturity Scale'!A:B,2,FALSE)</f>
        <v>Partial</v>
      </c>
      <c r="M99" s="7">
        <v>3</v>
      </c>
      <c r="N99" s="7" t="str">
        <f>VLOOKUP(M99,'Maturity Scale'!A:B,2,FALSE)</f>
        <v>Repeatable</v>
      </c>
      <c r="O99" s="15">
        <f t="shared" si="1"/>
        <v>2</v>
      </c>
      <c r="P99" s="18" t="s">
        <v>561</v>
      </c>
    </row>
    <row r="100" spans="1:16" ht="112" customHeight="1" x14ac:dyDescent="0.35">
      <c r="A100" s="4" t="s">
        <v>383</v>
      </c>
      <c r="B100" s="4" t="s">
        <v>431</v>
      </c>
      <c r="C100" s="4" t="s">
        <v>436</v>
      </c>
      <c r="D100" s="5" t="s">
        <v>437</v>
      </c>
      <c r="E100" s="4" t="s">
        <v>438</v>
      </c>
      <c r="F100" s="11" t="s">
        <v>439</v>
      </c>
      <c r="G100" s="4" t="s">
        <v>142</v>
      </c>
      <c r="H100" s="4"/>
      <c r="I100" s="4"/>
      <c r="J100" s="4"/>
      <c r="K100" s="6">
        <v>2</v>
      </c>
      <c r="L100" s="6" t="str">
        <f>VLOOKUP(K100, 'Maturity Scale'!A:B,2,FALSE)</f>
        <v>Risk Informed</v>
      </c>
      <c r="M100" s="7">
        <v>3</v>
      </c>
      <c r="N100" s="7" t="str">
        <f>VLOOKUP(M100,'Maturity Scale'!A:B,2,FALSE)</f>
        <v>Repeatable</v>
      </c>
      <c r="O100" s="15">
        <f t="shared" si="1"/>
        <v>1</v>
      </c>
      <c r="P100" s="18" t="s">
        <v>578</v>
      </c>
    </row>
    <row r="101" spans="1:16" ht="80" customHeight="1" x14ac:dyDescent="0.35">
      <c r="A101" s="4" t="s">
        <v>440</v>
      </c>
      <c r="B101" s="4" t="s">
        <v>441</v>
      </c>
      <c r="C101" s="4" t="s">
        <v>442</v>
      </c>
      <c r="D101" s="5" t="s">
        <v>443</v>
      </c>
      <c r="E101" s="4" t="s">
        <v>444</v>
      </c>
      <c r="F101" s="11" t="s">
        <v>445</v>
      </c>
      <c r="G101" s="4" t="s">
        <v>34</v>
      </c>
      <c r="H101" s="4"/>
      <c r="I101" s="4"/>
      <c r="J101" s="4"/>
      <c r="K101" s="6">
        <v>3</v>
      </c>
      <c r="L101" s="6" t="str">
        <f>VLOOKUP(K101, 'Maturity Scale'!A:B,2,FALSE)</f>
        <v>Repeatable</v>
      </c>
      <c r="M101" s="7">
        <v>3</v>
      </c>
      <c r="N101" s="7" t="str">
        <f>VLOOKUP(M101,'Maturity Scale'!A:B,2,FALSE)</f>
        <v>Repeatable</v>
      </c>
      <c r="O101" s="15">
        <f t="shared" si="1"/>
        <v>0</v>
      </c>
      <c r="P101" s="18"/>
    </row>
    <row r="102" spans="1:16" ht="64" customHeight="1" x14ac:dyDescent="0.35">
      <c r="A102" s="4" t="s">
        <v>440</v>
      </c>
      <c r="B102" s="4" t="s">
        <v>441</v>
      </c>
      <c r="C102" s="4" t="s">
        <v>446</v>
      </c>
      <c r="D102" s="5" t="s">
        <v>447</v>
      </c>
      <c r="E102" s="4" t="s">
        <v>448</v>
      </c>
      <c r="F102" s="11" t="s">
        <v>449</v>
      </c>
      <c r="G102" s="4" t="s">
        <v>34</v>
      </c>
      <c r="H102" s="4"/>
      <c r="I102" s="4"/>
      <c r="J102" s="4"/>
      <c r="K102" s="6">
        <v>3</v>
      </c>
      <c r="L102" s="6" t="str">
        <f>VLOOKUP(K102, 'Maturity Scale'!A:B,2,FALSE)</f>
        <v>Repeatable</v>
      </c>
      <c r="M102" s="7">
        <v>3</v>
      </c>
      <c r="N102" s="7" t="str">
        <f>VLOOKUP(M102,'Maturity Scale'!A:B,2,FALSE)</f>
        <v>Repeatable</v>
      </c>
      <c r="O102" s="15">
        <f t="shared" si="1"/>
        <v>0</v>
      </c>
      <c r="P102" s="18" t="s">
        <v>579</v>
      </c>
    </row>
    <row r="103" spans="1:16" ht="48" customHeight="1" x14ac:dyDescent="0.35">
      <c r="A103" s="4" t="s">
        <v>440</v>
      </c>
      <c r="B103" s="4" t="s">
        <v>441</v>
      </c>
      <c r="C103" s="4" t="s">
        <v>450</v>
      </c>
      <c r="D103" s="5" t="s">
        <v>451</v>
      </c>
      <c r="E103" s="4" t="s">
        <v>452</v>
      </c>
      <c r="F103" s="11" t="s">
        <v>453</v>
      </c>
      <c r="G103" s="4" t="s">
        <v>34</v>
      </c>
      <c r="H103" s="4"/>
      <c r="I103" s="4"/>
      <c r="J103" s="4"/>
      <c r="K103" s="6">
        <v>3</v>
      </c>
      <c r="L103" s="6" t="str">
        <f>VLOOKUP(K103, 'Maturity Scale'!A:B,2,FALSE)</f>
        <v>Repeatable</v>
      </c>
      <c r="M103" s="7">
        <v>3</v>
      </c>
      <c r="N103" s="7" t="str">
        <f>VLOOKUP(M103,'Maturity Scale'!A:B,2,FALSE)</f>
        <v>Repeatable</v>
      </c>
      <c r="O103" s="15">
        <f t="shared" si="1"/>
        <v>0</v>
      </c>
      <c r="P103" s="18"/>
    </row>
    <row r="104" spans="1:16" ht="144" customHeight="1" x14ac:dyDescent="0.35">
      <c r="A104" s="4" t="s">
        <v>440</v>
      </c>
      <c r="B104" s="4" t="s">
        <v>441</v>
      </c>
      <c r="C104" s="4" t="s">
        <v>454</v>
      </c>
      <c r="D104" s="5" t="s">
        <v>455</v>
      </c>
      <c r="E104" s="4" t="s">
        <v>456</v>
      </c>
      <c r="F104" s="11" t="s">
        <v>457</v>
      </c>
      <c r="G104" s="4" t="s">
        <v>34</v>
      </c>
      <c r="H104" s="4"/>
      <c r="I104" s="4"/>
      <c r="J104" s="4"/>
      <c r="K104" s="6">
        <v>2</v>
      </c>
      <c r="L104" s="6" t="str">
        <f>VLOOKUP(K104, 'Maturity Scale'!A:B,2,FALSE)</f>
        <v>Risk Informed</v>
      </c>
      <c r="M104" s="7">
        <v>3</v>
      </c>
      <c r="N104" s="7" t="str">
        <f>VLOOKUP(M104,'Maturity Scale'!A:B,2,FALSE)</f>
        <v>Repeatable</v>
      </c>
      <c r="O104" s="15">
        <f t="shared" si="1"/>
        <v>1</v>
      </c>
      <c r="P104" s="18"/>
    </row>
    <row r="105" spans="1:16" ht="64" customHeight="1" x14ac:dyDescent="0.35">
      <c r="A105" s="4" t="s">
        <v>440</v>
      </c>
      <c r="B105" s="4" t="s">
        <v>441</v>
      </c>
      <c r="C105" s="4" t="s">
        <v>458</v>
      </c>
      <c r="D105" s="5" t="s">
        <v>459</v>
      </c>
      <c r="E105" s="4" t="s">
        <v>460</v>
      </c>
      <c r="F105" s="11" t="s">
        <v>461</v>
      </c>
      <c r="G105" s="4" t="s">
        <v>34</v>
      </c>
      <c r="H105" s="4"/>
      <c r="I105" s="4"/>
      <c r="J105" s="4"/>
      <c r="K105" s="6">
        <v>2</v>
      </c>
      <c r="L105" s="6" t="str">
        <f>VLOOKUP(K105, 'Maturity Scale'!A:B,2,FALSE)</f>
        <v>Risk Informed</v>
      </c>
      <c r="M105" s="7">
        <v>3</v>
      </c>
      <c r="N105" s="7" t="str">
        <f>VLOOKUP(M105,'Maturity Scale'!A:B,2,FALSE)</f>
        <v>Repeatable</v>
      </c>
      <c r="O105" s="15">
        <f t="shared" si="1"/>
        <v>1</v>
      </c>
      <c r="P105" s="18"/>
    </row>
    <row r="106" spans="1:16" ht="48" customHeight="1" x14ac:dyDescent="0.35">
      <c r="A106" s="4" t="s">
        <v>440</v>
      </c>
      <c r="B106" s="4" t="s">
        <v>441</v>
      </c>
      <c r="C106" s="4" t="s">
        <v>462</v>
      </c>
      <c r="D106" s="5" t="s">
        <v>463</v>
      </c>
      <c r="E106" s="4" t="s">
        <v>464</v>
      </c>
      <c r="F106" s="11" t="s">
        <v>465</v>
      </c>
      <c r="G106" s="4" t="s">
        <v>34</v>
      </c>
      <c r="H106" s="4"/>
      <c r="I106" s="4"/>
      <c r="J106" s="4"/>
      <c r="K106" s="6">
        <v>2</v>
      </c>
      <c r="L106" s="6" t="str">
        <f>VLOOKUP(K106, 'Maturity Scale'!A:B,2,FALSE)</f>
        <v>Risk Informed</v>
      </c>
      <c r="M106" s="7">
        <v>3</v>
      </c>
      <c r="N106" s="7" t="str">
        <f>VLOOKUP(M106,'Maturity Scale'!A:B,2,FALSE)</f>
        <v>Repeatable</v>
      </c>
      <c r="O106" s="15">
        <f t="shared" si="1"/>
        <v>1</v>
      </c>
      <c r="P106" s="18"/>
    </row>
    <row r="107" spans="1:16" ht="144" customHeight="1" x14ac:dyDescent="0.35">
      <c r="A107" s="4" t="s">
        <v>440</v>
      </c>
      <c r="B107" s="4" t="s">
        <v>466</v>
      </c>
      <c r="C107" s="4" t="s">
        <v>467</v>
      </c>
      <c r="D107" s="5" t="s">
        <v>468</v>
      </c>
      <c r="E107" s="4" t="s">
        <v>469</v>
      </c>
      <c r="F107" s="11" t="s">
        <v>470</v>
      </c>
      <c r="G107" s="4" t="s">
        <v>34</v>
      </c>
      <c r="H107" s="4"/>
      <c r="I107" s="4"/>
      <c r="J107" s="4"/>
      <c r="K107" s="6">
        <v>3</v>
      </c>
      <c r="L107" s="6" t="str">
        <f>VLOOKUP(K107, 'Maturity Scale'!A:B,2,FALSE)</f>
        <v>Repeatable</v>
      </c>
      <c r="M107" s="7">
        <v>3</v>
      </c>
      <c r="N107" s="7" t="str">
        <f>VLOOKUP(M107,'Maturity Scale'!A:B,2,FALSE)</f>
        <v>Repeatable</v>
      </c>
      <c r="O107" s="15">
        <f t="shared" si="1"/>
        <v>0</v>
      </c>
      <c r="P107" s="18"/>
    </row>
    <row r="108" spans="1:16" ht="64" customHeight="1" x14ac:dyDescent="0.35">
      <c r="A108" s="4" t="s">
        <v>440</v>
      </c>
      <c r="B108" s="4" t="s">
        <v>466</v>
      </c>
      <c r="C108" s="4" t="s">
        <v>471</v>
      </c>
      <c r="D108" s="5" t="s">
        <v>472</v>
      </c>
      <c r="E108" s="4" t="s">
        <v>473</v>
      </c>
      <c r="F108" s="11" t="s">
        <v>474</v>
      </c>
      <c r="G108" s="4" t="s">
        <v>20</v>
      </c>
      <c r="H108" s="4"/>
      <c r="I108" s="4"/>
      <c r="J108" s="4"/>
      <c r="K108" s="6">
        <v>1</v>
      </c>
      <c r="L108" s="6" t="str">
        <f>VLOOKUP(K108, 'Maturity Scale'!A:B,2,FALSE)</f>
        <v>Partial</v>
      </c>
      <c r="M108" s="7">
        <v>3</v>
      </c>
      <c r="N108" s="7" t="str">
        <f>VLOOKUP(M108,'Maturity Scale'!A:B,2,FALSE)</f>
        <v>Repeatable</v>
      </c>
      <c r="O108" s="15">
        <f t="shared" si="1"/>
        <v>2</v>
      </c>
      <c r="P108" s="18"/>
    </row>
  </sheetData>
  <dataValidations count="3">
    <dataValidation type="list" allowBlank="1" showInputMessage="1" showErrorMessage="1" errorTitle="Invalid Evidence Status" error="Please select an evidence status from the dropdown." promptTitle="Evidence Status" prompt="Select the current evidence submission status." sqref="H3:H108" xr:uid="{00000000-0002-0000-0000-000000000000}">
      <formula1>EvidenceStatusList</formula1>
    </dataValidation>
    <dataValidation type="list" allowBlank="1" showInputMessage="1" showErrorMessage="1" sqref="M3:M108 K1:K1048576" xr:uid="{C249803D-6A5D-41D7-BCB6-D598E1BFFB5A}">
      <formula1>MaturityScore</formula1>
    </dataValidation>
    <dataValidation type="list" allowBlank="1" showInputMessage="1" showErrorMessage="1" sqref="L3:L7 N3:N108" xr:uid="{44EC564B-4966-4627-B14B-9B7F62F0C1BB}">
      <formula1>MaturityLevel</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92B1A-741A-4D61-A722-7BE35CF4D64E}">
  <dimension ref="A1:C4"/>
  <sheetViews>
    <sheetView workbookViewId="0">
      <selection activeCell="B15" sqref="B15"/>
    </sheetView>
  </sheetViews>
  <sheetFormatPr defaultRowHeight="14.5" x14ac:dyDescent="0.35"/>
  <cols>
    <col min="1" max="1" width="28.1796875" customWidth="1"/>
    <col min="2" max="2" width="54.1796875" customWidth="1"/>
    <col min="3" max="3" width="42" customWidth="1"/>
  </cols>
  <sheetData>
    <row r="1" spans="1:3" x14ac:dyDescent="0.35">
      <c r="A1" t="s">
        <v>486</v>
      </c>
      <c r="B1" t="s">
        <v>490</v>
      </c>
      <c r="C1" t="s">
        <v>494</v>
      </c>
    </row>
    <row r="2" spans="1:3" x14ac:dyDescent="0.35">
      <c r="A2" t="s">
        <v>487</v>
      </c>
      <c r="B2" t="s">
        <v>491</v>
      </c>
      <c r="C2" t="s">
        <v>495</v>
      </c>
    </row>
    <row r="3" spans="1:3" x14ac:dyDescent="0.35">
      <c r="A3" t="s">
        <v>488</v>
      </c>
      <c r="B3" t="s">
        <v>492</v>
      </c>
      <c r="C3" t="s">
        <v>496</v>
      </c>
    </row>
    <row r="4" spans="1:3" x14ac:dyDescent="0.35">
      <c r="A4" t="s">
        <v>489</v>
      </c>
      <c r="B4" t="s">
        <v>493</v>
      </c>
      <c r="C4" t="s">
        <v>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57398-6947-4176-8F00-AFA164EDD1B7}">
  <dimension ref="A1:B5"/>
  <sheetViews>
    <sheetView workbookViewId="0">
      <selection activeCell="A6" sqref="A6"/>
    </sheetView>
  </sheetViews>
  <sheetFormatPr defaultRowHeight="14.5" x14ac:dyDescent="0.35"/>
  <cols>
    <col min="1" max="1" width="8.7265625" style="16"/>
    <col min="2" max="2" width="13.6328125" customWidth="1"/>
  </cols>
  <sheetData>
    <row r="1" spans="1:2" x14ac:dyDescent="0.35">
      <c r="A1" s="16">
        <v>1</v>
      </c>
      <c r="B1" t="s">
        <v>500</v>
      </c>
    </row>
    <row r="2" spans="1:2" x14ac:dyDescent="0.35">
      <c r="A2" s="16">
        <v>2</v>
      </c>
      <c r="B2" t="s">
        <v>503</v>
      </c>
    </row>
    <row r="3" spans="1:2" x14ac:dyDescent="0.35">
      <c r="A3" s="16">
        <v>3</v>
      </c>
      <c r="B3" t="s">
        <v>501</v>
      </c>
    </row>
    <row r="4" spans="1:2" x14ac:dyDescent="0.35">
      <c r="A4" s="16">
        <v>4</v>
      </c>
      <c r="B4" t="s">
        <v>502</v>
      </c>
    </row>
    <row r="5" spans="1:2" x14ac:dyDescent="0.35">
      <c r="A5" s="16" t="s">
        <v>522</v>
      </c>
      <c r="B5" t="s">
        <v>522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ED9B-0E7F-4F56-BDF8-CA9581493CE0}">
  <dimension ref="A1:F14"/>
  <sheetViews>
    <sheetView topLeftCell="A5" workbookViewId="0">
      <selection activeCell="B14" sqref="B14"/>
    </sheetView>
  </sheetViews>
  <sheetFormatPr defaultRowHeight="14.5" x14ac:dyDescent="0.35"/>
  <cols>
    <col min="1" max="1" width="25.7265625" customWidth="1"/>
    <col min="2" max="2" width="20.81640625" customWidth="1"/>
    <col min="3" max="3" width="29.453125" customWidth="1"/>
    <col min="5" max="5" width="16.54296875" customWidth="1"/>
    <col min="6" max="6" width="26.6328125" customWidth="1"/>
  </cols>
  <sheetData>
    <row r="1" spans="1:6" ht="15" thickBot="1" x14ac:dyDescent="0.4">
      <c r="A1" s="32" t="s">
        <v>580</v>
      </c>
      <c r="B1" s="33"/>
      <c r="C1" s="33"/>
      <c r="E1" s="32" t="s">
        <v>599</v>
      </c>
      <c r="F1" s="33"/>
    </row>
    <row r="2" spans="1:6" ht="16.5" thickBot="1" x14ac:dyDescent="0.4">
      <c r="A2" s="19" t="s">
        <v>581</v>
      </c>
      <c r="B2" s="20" t="s">
        <v>582</v>
      </c>
      <c r="C2" s="21" t="s">
        <v>583</v>
      </c>
      <c r="E2" s="19" t="s">
        <v>581</v>
      </c>
      <c r="F2" s="20" t="s">
        <v>582</v>
      </c>
    </row>
    <row r="3" spans="1:6" ht="47" customHeight="1" thickBot="1" x14ac:dyDescent="0.4">
      <c r="A3" s="22">
        <v>1</v>
      </c>
      <c r="B3" s="23" t="s">
        <v>584</v>
      </c>
      <c r="C3" s="24" t="s">
        <v>585</v>
      </c>
      <c r="E3" s="22">
        <v>1</v>
      </c>
      <c r="F3" s="23" t="s">
        <v>594</v>
      </c>
    </row>
    <row r="4" spans="1:6" ht="46" customHeight="1" thickBot="1" x14ac:dyDescent="0.4">
      <c r="A4" s="22">
        <v>2</v>
      </c>
      <c r="B4" s="23" t="s">
        <v>586</v>
      </c>
      <c r="C4" s="24" t="s">
        <v>587</v>
      </c>
      <c r="E4" s="22">
        <v>2</v>
      </c>
      <c r="F4" s="23" t="s">
        <v>595</v>
      </c>
    </row>
    <row r="5" spans="1:6" ht="49" customHeight="1" thickBot="1" x14ac:dyDescent="0.4">
      <c r="A5" s="22">
        <v>3</v>
      </c>
      <c r="B5" s="23" t="s">
        <v>588</v>
      </c>
      <c r="C5" s="24" t="s">
        <v>589</v>
      </c>
      <c r="E5" s="22">
        <v>3</v>
      </c>
      <c r="F5" s="23" t="s">
        <v>596</v>
      </c>
    </row>
    <row r="6" spans="1:6" ht="42" customHeight="1" thickBot="1" x14ac:dyDescent="0.4">
      <c r="A6" s="22">
        <v>4</v>
      </c>
      <c r="B6" s="23" t="s">
        <v>590</v>
      </c>
      <c r="C6" s="24" t="s">
        <v>591</v>
      </c>
      <c r="E6" s="22">
        <v>4</v>
      </c>
      <c r="F6" s="23" t="s">
        <v>597</v>
      </c>
    </row>
    <row r="7" spans="1:6" ht="45.5" customHeight="1" thickBot="1" x14ac:dyDescent="0.4">
      <c r="A7" s="22">
        <v>5</v>
      </c>
      <c r="B7" s="23" t="s">
        <v>592</v>
      </c>
      <c r="C7" s="24" t="s">
        <v>593</v>
      </c>
      <c r="E7" s="22">
        <v>5</v>
      </c>
      <c r="F7" s="23" t="s">
        <v>598</v>
      </c>
    </row>
    <row r="8" spans="1:6" ht="19" customHeight="1" x14ac:dyDescent="0.35">
      <c r="A8" s="25"/>
      <c r="B8" s="25"/>
      <c r="C8" s="26"/>
      <c r="E8" s="25"/>
      <c r="F8" s="25"/>
    </row>
    <row r="9" spans="1:6" x14ac:dyDescent="0.35">
      <c r="A9" s="30" t="s">
        <v>600</v>
      </c>
      <c r="B9" s="31"/>
    </row>
    <row r="10" spans="1:6" ht="16" x14ac:dyDescent="0.35">
      <c r="A10" s="27" t="s">
        <v>581</v>
      </c>
      <c r="B10" s="28" t="s">
        <v>605</v>
      </c>
    </row>
    <row r="11" spans="1:6" ht="16" x14ac:dyDescent="0.35">
      <c r="A11" s="27" t="s">
        <v>601</v>
      </c>
      <c r="B11" s="28" t="s">
        <v>606</v>
      </c>
    </row>
    <row r="12" spans="1:6" ht="16" x14ac:dyDescent="0.35">
      <c r="A12" s="27" t="s">
        <v>602</v>
      </c>
      <c r="B12" s="28" t="s">
        <v>607</v>
      </c>
    </row>
    <row r="13" spans="1:6" ht="16" x14ac:dyDescent="0.35">
      <c r="A13" s="29" t="s">
        <v>603</v>
      </c>
      <c r="B13" s="28" t="s">
        <v>608</v>
      </c>
    </row>
    <row r="14" spans="1:6" ht="16" x14ac:dyDescent="0.35">
      <c r="A14" s="27" t="s">
        <v>604</v>
      </c>
      <c r="B14" s="28" t="s">
        <v>609</v>
      </c>
    </row>
  </sheetData>
  <mergeCells count="3">
    <mergeCell ref="A1:C1"/>
    <mergeCell ref="E1:F1"/>
    <mergeCell ref="A9:B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5" x14ac:dyDescent="0.35"/>
  <sheetData>
    <row r="1" spans="1:1" x14ac:dyDescent="0.35">
      <c r="A1" t="s">
        <v>475</v>
      </c>
    </row>
    <row r="2" spans="1:1" x14ac:dyDescent="0.35">
      <c r="A2" t="s">
        <v>476</v>
      </c>
    </row>
    <row r="3" spans="1:1" x14ac:dyDescent="0.35">
      <c r="A3" t="s">
        <v>477</v>
      </c>
    </row>
    <row r="4" spans="1:1" x14ac:dyDescent="0.35">
      <c r="A4" t="s">
        <v>478</v>
      </c>
    </row>
    <row r="5" spans="1:1" x14ac:dyDescent="0.35">
      <c r="A5" t="s">
        <v>479</v>
      </c>
    </row>
    <row r="6" spans="1:1" x14ac:dyDescent="0.35">
      <c r="A6" t="s">
        <v>480</v>
      </c>
    </row>
    <row r="7" spans="1:1" x14ac:dyDescent="0.35">
      <c r="A7" t="s">
        <v>481</v>
      </c>
    </row>
    <row r="8" spans="1:1" x14ac:dyDescent="0.35">
      <c r="A8" t="s">
        <v>482</v>
      </c>
    </row>
    <row r="9" spans="1:1" x14ac:dyDescent="0.35">
      <c r="A9" t="s">
        <v>483</v>
      </c>
    </row>
    <row r="10" spans="1:1" x14ac:dyDescent="0.35">
      <c r="A10" t="s">
        <v>484</v>
      </c>
    </row>
    <row r="11" spans="1:1" x14ac:dyDescent="0.35">
      <c r="A11" t="s">
        <v>485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Evidence Register</vt:lpstr>
      <vt:lpstr>Evidence reference</vt:lpstr>
      <vt:lpstr>Maturity Scale</vt:lpstr>
      <vt:lpstr>Risk Matrix</vt:lpstr>
      <vt:lpstr>_EvidenceTypeLists</vt:lpstr>
      <vt:lpstr>EvidenceStatusList</vt:lpstr>
      <vt:lpstr>ImpactScore</vt:lpstr>
      <vt:lpstr>LikelihoodScore</vt:lpstr>
      <vt:lpstr>MaturityLevel</vt:lpstr>
      <vt:lpstr>MaturityScore</vt:lpstr>
      <vt:lpstr>RiskScore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Dwivedi</dc:creator>
  <cp:lastModifiedBy>Himanshu Dwivedi</cp:lastModifiedBy>
  <dcterms:created xsi:type="dcterms:W3CDTF">2015-06-05T18:17:20Z</dcterms:created>
  <dcterms:modified xsi:type="dcterms:W3CDTF">2026-10-07T11:00:08Z</dcterms:modified>
</cp:coreProperties>
</file>