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HDW\Sec\GRC\11.Project\"/>
    </mc:Choice>
  </mc:AlternateContent>
  <xr:revisionPtr revIDLastSave="0" documentId="13_ncr:1_{81EF7AA6-170B-4015-B0D8-4F3B1573718F}" xr6:coauthVersionLast="47" xr6:coauthVersionMax="47" xr10:uidLastSave="{00000000-0000-0000-0000-000000000000}"/>
  <bookViews>
    <workbookView xWindow="-110" yWindow="-110" windowWidth="19420" windowHeight="10300" activeTab="2" xr2:uid="{54AA6AA2-CA8A-4158-8664-49D085092AFB}"/>
  </bookViews>
  <sheets>
    <sheet name="Dashboard" sheetId="8" r:id="rId1"/>
    <sheet name="Pivots" sheetId="9" state="hidden" r:id="rId2"/>
    <sheet name="Requirements" sheetId="1" r:id="rId3"/>
    <sheet name="Maturity Definitions" sheetId="5" r:id="rId4"/>
    <sheet name="Functions" sheetId="2" r:id="rId5"/>
    <sheet name="Categories" sheetId="3" r:id="rId6"/>
  </sheets>
  <calcPr calcId="191029" concurrentCalc="0"/>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1" l="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3" i="1"/>
</calcChain>
</file>

<file path=xl/sharedStrings.xml><?xml version="1.0" encoding="utf-8"?>
<sst xmlns="http://schemas.openxmlformats.org/spreadsheetml/2006/main" count="982" uniqueCount="516">
  <si>
    <t>Function</t>
  </si>
  <si>
    <t>Category</t>
  </si>
  <si>
    <t>Subcategory</t>
  </si>
  <si>
    <t>Implementation Examples</t>
  </si>
  <si>
    <t>GOVERN (GV)</t>
  </si>
  <si>
    <t>IDENTIFY (ID)</t>
  </si>
  <si>
    <t>PROTECT (PR)</t>
  </si>
  <si>
    <t>DETECT (DE)</t>
  </si>
  <si>
    <t>RESPOND (RS)</t>
  </si>
  <si>
    <t>RECOVER (RC)</t>
  </si>
  <si>
    <t>Organizational Context (GV.OC)</t>
  </si>
  <si>
    <t>Risk Management Strategy (GV.RM)</t>
  </si>
  <si>
    <t>Roles, Responsibilities, and Authorities (GV.RR)</t>
  </si>
  <si>
    <t>Policy (GV.PO)</t>
  </si>
  <si>
    <t>Oversight (GV.OV)</t>
  </si>
  <si>
    <t>Cybersecurity Supply Chain Risk Management (GV.SC)</t>
  </si>
  <si>
    <t>Asset Management (ID.AM)</t>
  </si>
  <si>
    <t>Risk Assessment (ID.RA)</t>
  </si>
  <si>
    <t>Improvement (ID.IM)</t>
  </si>
  <si>
    <t>Identity Management, Authentication, and Access Control (PR.AA)</t>
  </si>
  <si>
    <t>Awareness and Training (PR.AT)</t>
  </si>
  <si>
    <t>Data Security (PR.DS)</t>
  </si>
  <si>
    <t>Platform Security (PR.PS)</t>
  </si>
  <si>
    <t>Technology Infrastructure Resilience (PR.IR)</t>
  </si>
  <si>
    <t>Continuous Monitoring (DE.CM)</t>
  </si>
  <si>
    <t>Adverse Event Analysis (DE.AE)</t>
  </si>
  <si>
    <t>Incident Management (RS.MA)</t>
  </si>
  <si>
    <t>Incident Analysis (RS.AN)</t>
  </si>
  <si>
    <t>Incident Response Reporting and Communication (RS.CO)</t>
  </si>
  <si>
    <t>Incident Mitigation (RS.MI)</t>
  </si>
  <si>
    <t>Incident Recovery Plan Execution (RC.RP)</t>
  </si>
  <si>
    <t>Incident Recovery Communication (RC.CO)</t>
  </si>
  <si>
    <t>The circumstances - mission, stakeholder expectations, dependencies, and legal, regulatory, and contractual requirements - surrounding the organization's cybersecurity risk management decisions are understood</t>
  </si>
  <si>
    <t>The organization's priorities, constraints, risk tolerance and appetite statements, and assumptions are established, communicated, and used to support operational risk decisions</t>
  </si>
  <si>
    <t>Cybersecurity roles, responsibilities, and authorities to foster accountability, performance assessment, and continuous improvement are established and communicated</t>
  </si>
  <si>
    <t>Organizational cybersecurity policy is established, communicated, and enforced</t>
  </si>
  <si>
    <t>Results of organization-wide cybersecurity risk management activities and performance are used to inform, improve, and adjust the risk management strategy</t>
  </si>
  <si>
    <t>Cyber supply chain risk management processes are identified, established, managed, monitored, and improved by organizational stakeholders</t>
  </si>
  <si>
    <t>Assets (e.g., data, hardware, software, systems, facilities, services, people) that enable the organization to achieve business purposes are identified and managed consistent with their relative importance to organizational objectives and the organization's risk strategy</t>
  </si>
  <si>
    <t>The cybersecurity risk to the organization, assets, and individuals is understood by the organization</t>
  </si>
  <si>
    <t>Improvements to organizational cybersecurity risk management processes, procedures and activities are identified across all CSF Functions</t>
  </si>
  <si>
    <t>Access to physical and logical assets is limited to authorized users, services, and hardware and  managed commensurate with the assessed risk of unauthorized access</t>
  </si>
  <si>
    <t>The organization's personnel are provided with cybersecurity awareness and training so that they can perform their cybersecurity-related tasks</t>
  </si>
  <si>
    <t>Data are managed consistent with the organization's risk strategy to protect the confidentiality, integrity, and availability of information</t>
  </si>
  <si>
    <t>The hardware, software (e.g., firmware, operating systems, applications), and services of physical and virtual platforms are managed consistent with the organization's risk strategy to protect their confidentiality, integrity, and availability</t>
  </si>
  <si>
    <t>Security architectures are managed with the organization's risk strategy to protect asset confidentiality, integrity, and availability, and organizational resilience</t>
  </si>
  <si>
    <t>Assets are monitored to find anomalies, indicators of compromise, and other potentially adverse events</t>
  </si>
  <si>
    <t>Anomalies, indicators of compromise, and other potentially adverse events are analyzed to characterize the events and detect cybersecurity incidents</t>
  </si>
  <si>
    <t>Responses to detected cybersecurity incidents are managed</t>
  </si>
  <si>
    <t>Investigations are conducted to ensure effective response and support forensics and recovery activities</t>
  </si>
  <si>
    <t>Response activities are coordinated with internal and external stakeholders as required by laws, regulations, or policies</t>
  </si>
  <si>
    <t>Activities are performed to prevent expansion of an event and mitigate its effects</t>
  </si>
  <si>
    <t>Restoration activities are performed to ensure operational availability of systems and services affected by cybersecurity incidents</t>
  </si>
  <si>
    <t>Restoration activities are coordinated with internal and external parties</t>
  </si>
  <si>
    <t>Category definition</t>
  </si>
  <si>
    <t>Function definition</t>
  </si>
  <si>
    <t>The organization's cybersecurity risk management strategy, expectations, and policy are established, communicated, and monitored</t>
  </si>
  <si>
    <t>The organization's current cybersecurity risks are understood</t>
  </si>
  <si>
    <t>Safeguards to manage the organization's cybersecurity risks are used</t>
  </si>
  <si>
    <t>Possible cybersecurity attacks and compromises are found and analyzed</t>
  </si>
  <si>
    <t>Actions regarding a detected cybersecurity incident are taken</t>
  </si>
  <si>
    <t>Assets and operations affected by a cybersecurity incident are restored</t>
  </si>
  <si>
    <t>GV.OC-01</t>
  </si>
  <si>
    <t>The organizational mission is understood and informs cybersecurity risk management</t>
  </si>
  <si>
    <t>GV.OC-02</t>
  </si>
  <si>
    <t>Internal and external stakeholders are understood, and their needs and expectations regarding cybersecurity risk management are understood and considered</t>
  </si>
  <si>
    <t>GV.OC-03</t>
  </si>
  <si>
    <t>Legal, regulatory, and contractual requirements regarding cybersecurity - including privacy and civil liberties obligations - are understood and managed</t>
  </si>
  <si>
    <t>GV.OC-04</t>
  </si>
  <si>
    <t>Critical objectives, capabilities, and services that external stakeholders depend on or expect from the organization are understood and communicated</t>
  </si>
  <si>
    <t>GV.OC-05</t>
  </si>
  <si>
    <t>Outcomes, capabilities, and services that the organization depends on are understood and communicated</t>
  </si>
  <si>
    <t>GV.RM-01</t>
  </si>
  <si>
    <t>Risk management objectives are established and agreed to by organizational stakeholders</t>
  </si>
  <si>
    <t>GV.RM-02</t>
  </si>
  <si>
    <t>Risk appetite and risk tolerance statements are established, communicated, and maintained</t>
  </si>
  <si>
    <t>GV.RM-03</t>
  </si>
  <si>
    <t>Cybersecurity risk management activities and outcomes are included in enterprise risk management processes</t>
  </si>
  <si>
    <t>GV.RM-04</t>
  </si>
  <si>
    <t>Strategic direction that describes appropriate risk response options is established and communicated</t>
  </si>
  <si>
    <t>GV.RM-05</t>
  </si>
  <si>
    <t>Lines of communication across the organization are established for cybersecurity risks, including risks from suppliers and other third parties</t>
  </si>
  <si>
    <t>GV.RM-06</t>
  </si>
  <si>
    <t>A standardized method for calculating, documenting, categorizing, and prioritizing cybersecurity risks is established and communicated</t>
  </si>
  <si>
    <t>GV.RM-07</t>
  </si>
  <si>
    <t>Strategic opportunities (i.e., positive risks) are characterized and are included in organizational cybersecurity risk discussions</t>
  </si>
  <si>
    <t>GV.RR-01</t>
  </si>
  <si>
    <t>Organizational leadership is responsible and accountable for cybersecurity risk and fosters a culture that is risk-aware, ethical, and continually improving</t>
  </si>
  <si>
    <t>GV.RR-02</t>
  </si>
  <si>
    <t>Roles, responsibilities, and authorities related to cybersecurity risk management are established, communicated, understood, and enforced</t>
  </si>
  <si>
    <t>GV.RR-03</t>
  </si>
  <si>
    <t>Adequate resources are allocated commensurate with the cybersecurity risk strategy, roles, responsibilities, and policies</t>
  </si>
  <si>
    <t>GV.RR-04</t>
  </si>
  <si>
    <t>Cybersecurity is included in human resources practices</t>
  </si>
  <si>
    <t>GV.PO-01</t>
  </si>
  <si>
    <t>Policy for managing cybersecurity risks is established based on organizational context, cybersecurity strategy, and priorities and is communicated and enforced</t>
  </si>
  <si>
    <t>GV.PO-02</t>
  </si>
  <si>
    <t>Policy for managing cybersecurity risks is reviewed, updated, communicated, and enforced to reflect changes in requirements, threats, technology, and organizational mission</t>
  </si>
  <si>
    <t>GV.OV-01</t>
  </si>
  <si>
    <t>Cybersecurity risk management strategy outcomes are reviewed to inform and adjust strategy and direction</t>
  </si>
  <si>
    <t>GV.OV-02</t>
  </si>
  <si>
    <t>The cybersecurity risk management strategy is reviewed and adjusted to ensure coverage of organizational requirements and risks</t>
  </si>
  <si>
    <t>GV.OV-03</t>
  </si>
  <si>
    <t>Organizational cybersecurity risk management performance is evaluated and reviewed for adjustments needed</t>
  </si>
  <si>
    <t>GV.SC-01</t>
  </si>
  <si>
    <t>A cybersecurity supply chain risk management program, strategy, objectives, policies, and processes are established and agreed to by organizational stakeholders</t>
  </si>
  <si>
    <t>GV.SC-02</t>
  </si>
  <si>
    <t>Cybersecurity roles and responsibilities for suppliers, customers, and partners are established, communicated, and coordinated internally and externally</t>
  </si>
  <si>
    <t>GV.SC-03</t>
  </si>
  <si>
    <t>Cybersecurity supply chain risk management is integrated into cybersecurity and enterprise risk management, risk assessment, and improvement processes</t>
  </si>
  <si>
    <t>GV.SC-04</t>
  </si>
  <si>
    <t>Suppliers are known and prioritized by criticality</t>
  </si>
  <si>
    <t>GV.SC-05</t>
  </si>
  <si>
    <t>Requirements to address cybersecurity risks in supply chains are established, prioritized, and integrated into contracts and other types of agreements with suppliers and other relevant third parties</t>
  </si>
  <si>
    <t>GV.SC-06</t>
  </si>
  <si>
    <t>Planning and due diligence are performed to reduce risks before entering into formal supplier or other third-party relationships</t>
  </si>
  <si>
    <t>GV.SC-07</t>
  </si>
  <si>
    <t>The risks posed by a supplier, their products and services, and other third parties are understood, recorded, prioritized, assessed, responded to, and monitored over the course of the relationship</t>
  </si>
  <si>
    <t>GV.SC-08</t>
  </si>
  <si>
    <t>Relevant suppliers and other third parties are included in incident planning, response, and recovery activities</t>
  </si>
  <si>
    <t>GV.SC-09</t>
  </si>
  <si>
    <t>Supply chain security practices are integrated into cybersecurity and enterprise risk management programs, and their performance is monitored throughout the technology product and service life cycle</t>
  </si>
  <si>
    <t>GV.SC-10</t>
  </si>
  <si>
    <t>Cybersecurity supply chain risk management plans include provisions for activities that occur after the conclusion of a partnership or service agreement</t>
  </si>
  <si>
    <t>ID.AM-01</t>
  </si>
  <si>
    <t>Inventories of hardware managed by the organization are maintained</t>
  </si>
  <si>
    <t>ID.AM-02</t>
  </si>
  <si>
    <t>Inventories of software, services, and systems managed by the organization are maintained</t>
  </si>
  <si>
    <t>ID.AM-03</t>
  </si>
  <si>
    <t>Representations of the organization's authorized network communication and internal and external network data flows are maintained</t>
  </si>
  <si>
    <t>ID.AM-04</t>
  </si>
  <si>
    <t>Inventories of services provided by suppliers are maintained</t>
  </si>
  <si>
    <t>ID.AM-05</t>
  </si>
  <si>
    <t>Assets are prioritized based on classification, criticality, resources, and impact on the mission</t>
  </si>
  <si>
    <t>ID.AM-07</t>
  </si>
  <si>
    <t>Inventories of data and corresponding metadata for designated data types are maintained</t>
  </si>
  <si>
    <t>ID.AM-08</t>
  </si>
  <si>
    <t>Systems, hardware, software, services, and data are managed throughout their life cycles</t>
  </si>
  <si>
    <t>ID.RA-01</t>
  </si>
  <si>
    <t>Vulnerabilities in assets are identified, validated, and recorded</t>
  </si>
  <si>
    <t>ID.RA-02</t>
  </si>
  <si>
    <t>Cyber threat intelligence is received from information sharing forums and sources</t>
  </si>
  <si>
    <t>ID.RA-03</t>
  </si>
  <si>
    <t>Internal and external threats to the organization are identified and recorded</t>
  </si>
  <si>
    <t>ID.RA-04</t>
  </si>
  <si>
    <t>Potential impacts and likelihoods of threats exploiting vulnerabilities are identified and recorded</t>
  </si>
  <si>
    <t>ID.RA-05</t>
  </si>
  <si>
    <t>Threats, vulnerabilities, likelihoods, and impacts are used to understand inherent risk and inform risk response prioritization</t>
  </si>
  <si>
    <t>ID.RA-06</t>
  </si>
  <si>
    <t>Risk responses are chosen, prioritized, planned, tracked, and communicated</t>
  </si>
  <si>
    <t>ID.RA-07</t>
  </si>
  <si>
    <t>Changes and exceptions are managed, assessed for risk impact, recorded, and tracked</t>
  </si>
  <si>
    <t>ID.RA-08</t>
  </si>
  <si>
    <t>Processes for receiving, analyzing, and responding to vulnerability disclosures are established</t>
  </si>
  <si>
    <t>ID.RA-09</t>
  </si>
  <si>
    <t>The authenticity and integrity of hardware and software are assessed prior to acquisition and use</t>
  </si>
  <si>
    <t>ID.RA-10</t>
  </si>
  <si>
    <t>Critical suppliers are assessed prior to acquisition</t>
  </si>
  <si>
    <t>ID.IM-01</t>
  </si>
  <si>
    <t>Improvements are identified from evaluations</t>
  </si>
  <si>
    <t>ID.IM-02</t>
  </si>
  <si>
    <t>Improvements are identified from security tests and exercises, including those done in coordination with suppliers and relevant third parties</t>
  </si>
  <si>
    <t>ID.IM-03</t>
  </si>
  <si>
    <t>Improvements are identified from execution of operational processes, procedures, and activities</t>
  </si>
  <si>
    <t>ID.IM-04</t>
  </si>
  <si>
    <t>Incident response plans and other cybersecurity plans that affect operations are established, communicated, maintained, and improved</t>
  </si>
  <si>
    <t>PR.AA-01</t>
  </si>
  <si>
    <t>Identities and credentials for authorized users, services, and hardware are managed by the organization</t>
  </si>
  <si>
    <t>PR.AA-02</t>
  </si>
  <si>
    <t>Identities are proofed and bound to credentials based on the context of interactions</t>
  </si>
  <si>
    <t>PR.AA-03</t>
  </si>
  <si>
    <t>Users, services, and hardware are authenticated</t>
  </si>
  <si>
    <t>PR.AA-04</t>
  </si>
  <si>
    <t>Identity assertions are protected, conveyed, and verified</t>
  </si>
  <si>
    <t>PR.AA-05</t>
  </si>
  <si>
    <t>Access permissions, entitlements, and authorizations are defined in a policy, managed, enforced, and reviewed, and incorporate the principles of least privilege and separation of duties</t>
  </si>
  <si>
    <t>PR.AA-06</t>
  </si>
  <si>
    <t>Physical access to assets is managed, monitored, and enforced commensurate with risk</t>
  </si>
  <si>
    <t>PR.AT-01</t>
  </si>
  <si>
    <t>Personnel are provided with awareness and training so that they possess the knowledge and skills to perform general tasks with cybersecurity risks in mind</t>
  </si>
  <si>
    <t>PR.AT-02</t>
  </si>
  <si>
    <t>Individuals in specialized roles are provided with awareness and training so that they possess the knowledge and skills to perform relevant tasks with cybersecurity risks in mind</t>
  </si>
  <si>
    <t>PR.DS-01</t>
  </si>
  <si>
    <t>The confidentiality, integrity, and availability of data-at-rest are protected</t>
  </si>
  <si>
    <t>PR.DS-02</t>
  </si>
  <si>
    <t>The confidentiality, integrity, and availability of data-in-transit are protected</t>
  </si>
  <si>
    <t>PR.DS-10</t>
  </si>
  <si>
    <t>The confidentiality, integrity, and availability of data-in-use are protected</t>
  </si>
  <si>
    <t>PR.DS-11</t>
  </si>
  <si>
    <t>Backups of data are created, protected, maintained, and tested</t>
  </si>
  <si>
    <t>PR.PS-01</t>
  </si>
  <si>
    <t>Configuration management practices are established and applied</t>
  </si>
  <si>
    <t>PR.PS-02</t>
  </si>
  <si>
    <t>Software is maintained, replaced, and removed commensurate with risk</t>
  </si>
  <si>
    <t>PR.PS-03</t>
  </si>
  <si>
    <t>Hardware is maintained, replaced, and removed commensurate with risk</t>
  </si>
  <si>
    <t>PR.PS-04</t>
  </si>
  <si>
    <t>Log records are generated and made available for continuous monitoring</t>
  </si>
  <si>
    <t>PR.PS-05</t>
  </si>
  <si>
    <t>Installation and execution of unauthorized software are prevented</t>
  </si>
  <si>
    <t>PR.PS-06</t>
  </si>
  <si>
    <t>Secure software development practices are integrated, and their performance is monitored throughout the software development life cycle</t>
  </si>
  <si>
    <t>PR.IR-01</t>
  </si>
  <si>
    <t>Networks and environments are protected from unauthorized logical access and usage</t>
  </si>
  <si>
    <t>PR.IR-02</t>
  </si>
  <si>
    <t>The organization's technology assets are protected from environmental threats</t>
  </si>
  <si>
    <t>PR.IR-03</t>
  </si>
  <si>
    <t>Mechanisms are implemented to achieve resilience requirements in normal and adverse situations</t>
  </si>
  <si>
    <t>PR.IR-04</t>
  </si>
  <si>
    <t>Adequate resource capacity to ensure availability is maintained</t>
  </si>
  <si>
    <t>DE.CM-01</t>
  </si>
  <si>
    <t>Networks and network services are monitored to find potentially adverse events</t>
  </si>
  <si>
    <t>DE.CM-02</t>
  </si>
  <si>
    <t>The physical environment is monitored to find potentially adverse events</t>
  </si>
  <si>
    <t>DE.CM-03</t>
  </si>
  <si>
    <t>Personnel activity and technology usage are monitored to find potentially adverse events</t>
  </si>
  <si>
    <t>DE.CM-06</t>
  </si>
  <si>
    <t>External service provider activities and services are monitored to find potentially adverse events</t>
  </si>
  <si>
    <t>DE.CM-09</t>
  </si>
  <si>
    <t>Computing hardware and software, runtime environments, and their data are monitored to find potentially adverse events</t>
  </si>
  <si>
    <t>DE.AE-02</t>
  </si>
  <si>
    <t>Potentially adverse events are analyzed to better understand associated activities</t>
  </si>
  <si>
    <t>DE.AE-03</t>
  </si>
  <si>
    <t>Information is correlated from multiple sources</t>
  </si>
  <si>
    <t>DE.AE-04</t>
  </si>
  <si>
    <t>The estimated impact and scope of adverse events are understood</t>
  </si>
  <si>
    <t>DE.AE-06</t>
  </si>
  <si>
    <t>Information on adverse events is provided to authorized staff and tools</t>
  </si>
  <si>
    <t>DE.AE-07</t>
  </si>
  <si>
    <t>Cyber threat intelligence and other contextual information are integrated into the analysis</t>
  </si>
  <si>
    <t>DE.AE-08</t>
  </si>
  <si>
    <t>Incidents are declared when adverse events meet the defined incident criteria</t>
  </si>
  <si>
    <t>RS.MA-01</t>
  </si>
  <si>
    <t>The incident response plan is executed in coordination with relevant third parties once an incident is declared</t>
  </si>
  <si>
    <t>RS.MA-02</t>
  </si>
  <si>
    <t>Incident reports are triaged and validated</t>
  </si>
  <si>
    <t>RS.MA-03</t>
  </si>
  <si>
    <t>Incidents are categorized and prioritized</t>
  </si>
  <si>
    <t>RS.MA-04</t>
  </si>
  <si>
    <t>Incidents are escalated or elevated as needed</t>
  </si>
  <si>
    <t>RS.MA-05</t>
  </si>
  <si>
    <t>The criteria for initiating incident recovery are applied</t>
  </si>
  <si>
    <t>RS.AN-03</t>
  </si>
  <si>
    <t>Analysis is performed to establish what has taken place during an incident and the root cause of the incident</t>
  </si>
  <si>
    <t>RS.AN-06</t>
  </si>
  <si>
    <t>Actions performed during an investigation are recorded, and the records' integrity and provenance are preserved</t>
  </si>
  <si>
    <t>RS.AN-07</t>
  </si>
  <si>
    <t>Incident data and metadata are collected, and their integrity and provenance are preserved</t>
  </si>
  <si>
    <t>RS.AN-08</t>
  </si>
  <si>
    <t>An incident's magnitude is estimated and validated</t>
  </si>
  <si>
    <t>RS.CO-02</t>
  </si>
  <si>
    <t>Internal and external stakeholders are notified of incidents</t>
  </si>
  <si>
    <t>RS.CO-03</t>
  </si>
  <si>
    <t>Information is shared with designated internal and external stakeholders</t>
  </si>
  <si>
    <t>RS.MI-01</t>
  </si>
  <si>
    <t>Incidents are contained</t>
  </si>
  <si>
    <t>RS.MI-02</t>
  </si>
  <si>
    <t>Incidents are eradicated</t>
  </si>
  <si>
    <t>RC.RP-01</t>
  </si>
  <si>
    <t>The recovery portion of the incident response plan is executed once initiated from the incident response process</t>
  </si>
  <si>
    <t>RC.RP-02</t>
  </si>
  <si>
    <t>Recovery actions are selected, scoped, prioritized, and performed</t>
  </si>
  <si>
    <t>RC.RP-03</t>
  </si>
  <si>
    <t>The integrity of backups and other restoration assets is verified before using them for restoration</t>
  </si>
  <si>
    <t>RC.RP-04</t>
  </si>
  <si>
    <t>Critical mission functions and cybersecurity risk management are considered to establish post-incident operational norms</t>
  </si>
  <si>
    <t>RC.RP-05</t>
  </si>
  <si>
    <t>The integrity of restored assets is verified, systems and services are restored, and normal operating status is confirmed</t>
  </si>
  <si>
    <t>RC.RP-06</t>
  </si>
  <si>
    <t>The end of incident recovery is declared based on criteria, and incident-related documentation is completed</t>
  </si>
  <si>
    <t>RC.CO-03</t>
  </si>
  <si>
    <t>Recovery activities and progress in restoring operational capabilities are communicated to designated internal and external stakeholders</t>
  </si>
  <si>
    <t>RC.CO-04</t>
  </si>
  <si>
    <t>Public updates on incident recovery are shared using approved methods and messaging</t>
  </si>
  <si>
    <t>Subcategory description</t>
  </si>
  <si>
    <t>Informative References</t>
  </si>
  <si>
    <t>CCMv4.0: BCR-01
CCMv4.0: BCR-07
CRI Profile v2.0: GV.OC-01
CRI Profile v2.0: GV.OC-01.01
CSF v1.1: ID.BE-2
CSF v1.1: ID.BE-3
SP 800-221A: GV.CT-5
SP 800-221A: GV.CT-3
SP 800-53 Rev 5.1.1: PM-11</t>
  </si>
  <si>
    <t>CCMv4.0: STA-08
CCMv4.0: STA-13
CRI Profile v2.0: GV.OC-02
CRI Profile v2.0: GV.OC-02.01
CRI Profile v2.0: GV.OC-02.02
CRI Profile v2.0: GV.OC-02.03
CSF v1.1: ID.SC-2
CSF v1.1: ID.GV-2
SP 800-218: PO.2.1
SP 800-221A: GV.OV-2
SP 800-221A: GV.CT-2
SP 800-221A: GV.CT-3
SP 800-53 Rev 5.1.1: PM-09
SP 800-53 Rev 5.1.1: PM-18
SP 800-53 Rev 5.1.1: PM-30
SP 800-53 Rev 5.1.1: SR-03
SP 800-53 Rev 5.1.1: SR-05
SP 800-53 Rev 5.1.1: SR-06
SP 800-53 Rev 5.1.1: SR-08</t>
  </si>
  <si>
    <t>CCMv4.0: CEK-12
CCMv4.0: CEK-13
CCMv4.0: CEK-14
CCMv4.0: CEK-15
CCMv4.0: CEK-16
CCMv4.0: CEK-17
CCMv4.0: CEK-18
CCMv4.0: CEK-19
CCMv4.0: CEK-20
CCMv4.0: CEK-21
CCMv4.0: DSP-01
CCMv4.0: DSP-10
CCMv4.0: DSP-11
CCMv4.0: DSP-12
CCMv4.0: DSP-16
CCMv4.0: DSP-18
CCMv4.0: GRC-07
CCMv4.0: HRS-13
CCMv4.0: STA-05
CCMv4.0: STA-13
CRI Profile v2.0: GV.OC-03
CRI Profile v2.0: GV.OC-03.01
CRI Profile v2.0: GV.OC-03.02
CSF v1.1: ID.GV-3
SP 800-218: PO.1.1
SP 800-218: PO.1.2
SP 800-53 Rev 5.1.1: AC-01
SP 800-53 Rev 5.1.1: AT-01
SP 800-53 Rev 5.1.1: AU-01
SP 800-53 Rev 5.1.1: CA-01
SP 800-53 Rev 5.1.1: CM-01
SP 800-53 Rev 5.1.1: CP-01
SP 800-53 Rev 5.1.1: IA-01
SP 800-53 Rev 5.1.1: IR-01
SP 800-53 Rev 5.1.1: MA-01
SP 800-53 Rev 5.1.1: MP-01
SP 800-53 Rev 5.1.1: PE-01
SP 800-53 Rev 5.1.1: PL-01
SP 800-53 Rev 5.1.1: PM-01
SP 800-53 Rev 5.1.1: PS-01
SP 800-53 Rev 5.1.1: PT-01
SP 800-53 Rev 5.1.1: RA-01
SP 800-53 Rev 5.1.1: SA-01
SP 800-53 Rev 5.1.1: SC-01
SP 800-53 Rev 5.1.1: SI-01
SP 800-53 Rev 5.1.1: SR-01
SP 800-53 Rev 5.1.1: PM-28
SP 800-53 Rev 5.1.1: PT</t>
  </si>
  <si>
    <t>CCMv4.0: BCR-01
CCMv4.0: BCR-02
CCMv4.0: BCR-03
CCMv4.0: BCR-11
CCMv4.0: IVS-02
CCMv4.0: STA-05
CRI Profile v2.0: GV.OC-04
CRI Profile v2.0: GV.OC-04.01
CRI Profile v2.0: GV.OC-04.02
CRI Profile v2.0: GV.OC-04.03
CRI Profile v2.0: GV.OC-04.04
CSF v1.1: ID.BE-4
CSF v1.1: ID.BE-5
SP 800-221A: MA.RI-1
SP 800-53 Rev 5.1.1: PM-08
SP 800-53 Rev 5.1.1: PM-11
SP 800-53 Rev 5.1.1: CP-02(08)
SP 800-53 Rev 5.1.1: PM-30(01)
SP 800-53 Rev 5.1.1: RA-09</t>
  </si>
  <si>
    <t>CCMv4.0: BCR-11
CCMv4.0: STA-01
CCMv4.0: STA-04
CRI Profile v2.0: GV.OC-05
CRI Profile v2.0: GV.OC-05.01
CRI Profile v2.0: GV.OC-05.02
CRI Profile v2.0: GV.OC-05.03
CRI Profile v2.0: GV.OC-05.04
CSF v1.1: ID.BE-1
CSF v1.1: ID.BE-4
SP 800-221A: GV.CT-5
SP 800-221A: MA.RI-1
SP 800-53 Rev 5.1.1: PM-11
SP 800-53 Rev 5.1.1: PM-30
SP 800-53 Rev 5.1.1: RA-07
SP 800-53 Rev 5.1.1: SA-09
SP 800-53 Rev 5.1.1: SR-05</t>
  </si>
  <si>
    <t>CCMv4.0: GRC-02
CCMv4.0: CEK-07
CRI Profile v2.0: GV.RM-01
CRI Profile v2.0: GV.RM-01.01
CRI Profile v2.0: GV.RM-01.02
CRI Profile v2.0: GV.RM-01.03
CRI Profile v2.0: GV.RM-01.04
CRI Profile v2.0: GV.RM-01.05
CSF v1.1: ID.RM-1
SP 800-221A: GV.RR-2
SP 800-53 Rev 5.1.1: PM-09
SP 800-53 Rev 5.1.1: RA-07
SP 800-53 Rev 5.1.1: SR-02</t>
  </si>
  <si>
    <t>CCMv4.0: GRC-02
CCMv4.0: BCR-03
CCMv4.0: IVS-08
CRI Profile v2.0: GV.RM-02
CRI Profile v2.0: GV.RM-02.01
CRI Profile v2.0: GV.RM-02.02
CRI Profile v2.0: GV.RM-02.03
CSF v1.1: ID.RM-2
CSF v1.1: ID.RM-3
SP 800-221A: GV.BE-1
SP 800-221A: GV.BE-3
SP 800-53 Rev 5.1.1: PM-09</t>
  </si>
  <si>
    <t>CCMv4.0: GRC-02
CCMv4.0: A&amp;A-03
CRI Profile v2.0: GV.RM-03
CRI Profile v2.0: GV.RM-03.01
CRI Profile v2.0: GV.RM-03.02
CRI Profile v2.0: GV.RM-03.03
CRI Profile v2.0: GV.RM-03.04
CSF v1.1: ID.GV-4
SP 800-221A: GV.PO-2
SP 800-221A: GV.PO-3
SP 800-53 Rev 5.1.1: PM-03
SP 800-53 Rev 5.1.1: PM-09
SP 800-53 Rev 5.1.1: PM-30
SP 800-53 Rev 5.1.1: RA-07
SP 800-53 Rev 5.1.1: SR-02</t>
  </si>
  <si>
    <t>CCMv4.0: GRC-02
CCMv4.0: BCR-03
CCMv4.0: STA-01
CRI Profile v2.0: GV.RM-04
CRI Profile v2.0: GV.RM-04.01
CSF v1.1: ID.RM-2
SP 800-221A: GV.BE-1
SP 800-53 Rev 5.1.1: PM-09
SP 800-53 Rev 5.1.1: PM-28
SP 800-53 Rev 5.1.1: PM-30
SP 800-53 Rev 5.1.1: SR-02</t>
  </si>
  <si>
    <t>CCMv4.0: GRC-02
CCMv4.0: STA-01
CCMv4.0: STA-08
CRI Profile v2.0: GV.RM-05
CRI Profile v2.0: GV.RM-05.01
CRI Profile v2.0: GV.RM-05.02
CSF v1.1: ID.SC-1
SP 800-221A: GV.PO-1
SP 800-53 Rev 5.1.1: PM-09
SP 800-53 Rev 5.1.1: PM-30</t>
  </si>
  <si>
    <t>CCMv4.0: GRC-02
CCMv4.0: TVM-08
CCMv4.0: IVS-08
CRI Profile v2.0: GV.RM-06
CRI Profile v2.0: GV.RM-06.01
CSF v1.1: ID.RM-1
SP 800-221A: GV.RR-2
SP 800-53 Rev 5.1.1: PM-09
SP 800-53 Rev 5.1.1: PM-18
SP 800-53 Rev 5.1.1: PM-28
SP 800-53 Rev 5.1.1: PM-30
SP 800-53 Rev 5.1.1: RA-03</t>
  </si>
  <si>
    <t>CCMv4.0: GRC-02
CRI Profile v2.0: GV.RM-07
CRI Profile v2.0: GV.RM-07.01
SP 800-53 Rev 5.1.1: PM-09
SP 800-53 Rev 5.1.1: PM-18
SP 800-53 Rev 5.1.1: PM-28
SP 800-53 Rev 5.1.1: PM-30
SP 800-53 Rev 5.1.1: RA-03</t>
  </si>
  <si>
    <t>CCMv4.0: HRS-09
CCMv4.0: HRS-13
CIS Controls v8.0: 14.1
CRI Profile v2.0: GV.RR-01
CRI Profile v2.0: GV.RR-01.01
CRI Profile v2.0: GV.RR-01.02
CRI Profile v2.0: GV.RR-01.03
CRI Profile v2.0: GV.RR-01.04
CRI Profile v2.0: GV.RR-01.05
SP 800-218: PO.2.3
SP 800-53 Rev 5.1.1: PM-02
SP 800-53 Rev 5.1.1: PM-19
SP 800-53 Rev 5.1.1: PM-23
SP 800-53 Rev 5.1.1: PM-24
SP 800-53 Rev 5.1.1: PM-29</t>
  </si>
  <si>
    <t>CCMv4.0: CEK-02
CCMv4.0: GRC-06
CCMv4.0: HRS-02
CCMv4.0: HRS-03
CCMv4.0: HRS-06
CCMv4.0: HRS-08
CCMv4.0: HRS-09
CCMv4.0: HRS-13
CCMv4.0: SEF-08
CCMv4.0: STA-02
CCMv4.0: STA-04
CCMv4.0: UEM-14
CIS Controls v8.0: 14.9
CRI Profile v2.0: GV.RR-02
CRI Profile v2.0: GV.RR-02.01
CRI Profile v2.0: GV.RR-02.02
CRI Profile v2.0: GV.RR-02.03
CRI Profile v2.0: GV.RR-02.04
CRI Profile v2.0: GV.RR-02.05
CRI Profile v2.0: GV.RR-02.06
CRI Profile v2.0: GV.RR-02.07
CSF v1.1: ID.AM-6
CSF v1.1: ID.GV-2
CSF v1.1: DE.DP-1
SP 800-218: PO.2.1
SP 800-221A: GV.RR-1
SP 800-221A: GV.RR-2
SP 800-221A: GV.OV-2
SP 800-53 Rev 5.1.1: PM-02
SP 800-53 Rev 5.1.1: PM-13
SP 800-53 Rev 5.1.1: PM-19
SP 800-53 Rev 5.1.1: PM-23
SP 800-53 Rev 5.1.1: PM-24
SP 800-53 Rev 5.1.1: PM-29</t>
  </si>
  <si>
    <t>CRI Profile v2.0: GV.RR-03
CRI Profile v2.0: GV.RR-03.01
CRI Profile v2.0: GV.RR-03.02
CRI Profile v2.0: GV.RR-03.03
CSF v1.1: ID.RM-1
SP 800-221A: GV.RR-2
SP 800-53 Rev 5.1.1: PM-03</t>
  </si>
  <si>
    <t>CCMv4.0: HRS-01
CCMv4.0: HRS-05
CCMv4.0: HRS-06
CCMv4.0: HRS-07
CCMv4.0: HRS-08
CCMv4.0: HRS-10
CCMv4.0: IAM-07
CIS Controls v8.0: 6.1
CIS Controls v8.0: 6.2
CRI Profile v2.0: GV.RR-04
CRI Profile v2.0: GV.RR-04.01
CRI Profile v2.0: GV.RR-04.02
CRI Profile v2.0: GV.RR-04.03
CSF v1.1: PR.IP-11
SP 800-53 Rev 5.1.1: PM-13
SP 800-53 Rev 5.1.1: PS-01
SP 800-53 Rev 5.1.1: PS-07
SP 800-53 Rev 5.1.1: PS-09</t>
  </si>
  <si>
    <t>CCMv4.0: A&amp;A-01
CCMv4.0: AIS-01
CCMv4.0: BCR-01
CCMv4.0: CCC-01
CCMv4.0: CEK-01
CCMv4.0: DCS-01
CCMv4.0: DCS-02
CCMv4.0: DCS-03
CCMv4.0: DCS-04
CCMv4.0: DSP-01
CCMv4.0: GRC-01
CCMv4.0: HRS-01
CCMv4.0: HRS-02
CCMv4.0: HRS-03
CCMv4.0: HRS-04
CCMv4.0: HRS-09
CCMv4.0: IAM-01
CCMv4.0: IAM-02
CCMv4.0: IPY-01
CCMv4.0: IVS-01
CCMv4.0: LOG-01
CCMv4.0: SEF-01
CCMv4.0: SEF-02
CCMv4.0: STA-01
CCMv4.0: TVM-01
CCMv4.0: TVM-02
CCMv4.0: UEM-01
CCMv4.0: UEM-05
CRI Profile v2.0: GV.PO-01
CRI Profile v2.0: GV.PO-01.01
CRI Profile v2.0: GV.PO-01.02
CRI Profile v2.0: GV.PO-01.03
CRI Profile v2.0: GV.PO-01.04
CRI Profile v2.0: GV.PO-01.05
CRI Profile v2.0: GV.PO-01.06
CRI Profile v2.0: GV.PO-01.07
CRI Profile v2.0: GV.PO-01.08
CSF v1.1: ID.GV-1
SP 800-221A: GV.PO-1
SP 800-53 Rev 5.1.1: AC-01
SP 800-53 Rev 5.1.1: AT-01
SP 800-53 Rev 5.1.1: AU-01
SP 800-53 Rev 5.1.1: CA-01
SP 800-53 Rev 5.1.1: CM-01
SP 800-53 Rev 5.1.1: CP-01
SP 800-53 Rev 5.1.1: IA-01
SP 800-53 Rev 5.1.1: IR-01
SP 800-53 Rev 5.1.1: MA-01
SP 800-53 Rev 5.1.1: MP-01
SP 800-53 Rev 5.1.1: PE-01
SP 800-53 Rev 5.1.1: PL-01
SP 800-53 Rev 5.1.1: PM-01
SP 800-53 Rev 5.1.1: PS-01
SP 800-53 Rev 5.1.1: PT-01
SP 800-53 Rev 5.1.1: RA-01
SP 800-53 Rev 5.1.1: SA-01
SP 800-53 Rev 5.1.1: SC-01
SP 800-53 Rev 5.1.1: SI-01
SP 800-53 Rev 5.1.1: SR-01</t>
  </si>
  <si>
    <t>CCMv4.0: A&amp;A-01
CCMv4.0: AIS-01
CCMv4.0: BCR-01
CCMv4.0: CCC-01
CCMv4.0: CEK-01
CCMv4.0: DCS-01
CCMv4.0: DCS-02
CCMv4.0: DCS-03
CCMv4.0: DCS-04
CCMv4.0: DSP-01
CCMv4.0: GRC-01
CCMv4.0: GRC-03
CCMv4.0: HRS-01
CCMv4.0: HRS-02
CCMv4.0: HRS-03
CCMv4.0: HRS-04
CCMv4.0: IAM-01
CCMv4.0: IAM-02
CCMv4.0: IPY-01
CCMv4.0: IVS-01
CCMv4.0: LOG-01
CCMv4.0: SEF-01
CCMv4.0: SEF-02
CCMv4.0: STA-01
CCMv4.0: TVM-01
CCMv4.0: TVM-02
CCMv4.0: UEM-01
CCMv4.0: UEM-05
CRI Profile v2.0: GV.PO-02
CRI Profile v2.0: GV.PO-02.01
CSF v1.1: ID.GV-1
SP 800-221A: GV.PO-1
SP 800-53 Rev 5.1.1: AC-01
SP 800-53 Rev 5.1.1: AT-01
SP 800-53 Rev 5.1.1: AU-01
SP 800-53 Rev 5.1.1: CA-01
SP 800-53 Rev 5.1.1: CM-01
SP 800-53 Rev 5.1.1: CP-01
SP 800-53 Rev 5.1.1: IA-01
SP 800-53 Rev 5.1.1: IR-01
SP 800-53 Rev 5.1.1: MA-01
SP 800-53 Rev 5.1.1: MP-01
SP 800-53 Rev 5.1.1: PE-01
SP 800-53 Rev 5.1.1: PL-01
SP 800-53 Rev 5.1.1: PM-01
SP 800-53 Rev 5.1.1: PS-01
SP 800-53 Rev 5.1.1: PT-01
SP 800-53 Rev 5.1.1: RA-01
SP 800-53 Rev 5.1.1: SA-01
SP 800-53 Rev 5.1.1: SC-01
SP 800-53 Rev 5.1.1: SI-01
SP 800-53 Rev 5.1.1: SR-01</t>
  </si>
  <si>
    <t>CRI Profile v2.0: GV.OV-01
CRI Profile v2.0: GV.OV-01.01
CRI Profile v2.0: GV.OV-01.02
CRI Profile v2.0: GV.OV-01.03
SP 800-221A: GV.AD-3
SP 800-53 Rev 5.1.1: AC-01
SP 800-53 Rev 5.1.1: AT-01
SP 800-53 Rev 5.1.1: AU-01
SP 800-53 Rev 5.1.1: CA-01
SP 800-53 Rev 5.1.1: CM-01
SP 800-53 Rev 5.1.1: CP-01
SP 800-53 Rev 5.1.1: IA-01
SP 800-53 Rev 5.1.1: IR-01
SP 800-53 Rev 5.1.1: MA-01
SP 800-53 Rev 5.1.1: MP-01
SP 800-53 Rev 5.1.1: PE-01
SP 800-53 Rev 5.1.1: PL-01
SP 800-53 Rev 5.1.1: PM-01
SP 800-53 Rev 5.1.1: PS-01
SP 800-53 Rev 5.1.1: PT-01
SP 800-53 Rev 5.1.1: RA-01
SP 800-53 Rev 5.1.1: SA-01
SP 800-53 Rev 5.1.1: SC-01
SP 800-53 Rev 5.1.1: SI-01
SP 800-53 Rev 5.1.1: SR-01
SP 800-53 Rev 5.1.1: PM-09
SP 800-53 Rev 5.1.1: PM-18
SP 800-53 Rev 5.1.1: PM-30
SP 800-53 Rev 5.1.1: PM-31
SP 800-53 Rev 5.1.1: RA-07
SP 800-53 Rev 5.1.1: SR-06</t>
  </si>
  <si>
    <t>CRI Profile v2.0: GV.OV-02
CRI Profile v2.0: GV.OV-02.01
CRI Profile v2.0: GV.OV-02.02
SP 800-221A: GV.AD-2
SP 800-221A: GV.AD-3
SP 800-221A: MA.RM-8
SP 800-53 Rev 5.1.1: PM-09
SP 800-53 Rev 5.1.1: PM-19
SP 800-53 Rev 5.1.1: PM-30
SP 800-53 Rev 5.1.1: PM-31
SP 800-53 Rev 5.1.1: RA-07
SP 800-53 Rev 5.1.1: SR-06</t>
  </si>
  <si>
    <t>CCMv4.0: AIS-03
CRI Profile v2.0: GV.OV-03
CRI Profile v2.0: GV.OV-03.01
CRI Profile v2.0: GV.OV-03.02
SP 800-221A: GV.OV-2
SP 800-221A: MA.RM-2
SP 800-53 Rev 5.1.1: PM-04
SP 800-53 Rev 5.1.1: PM-06
SP 800-53 Rev 5.1.1: RA-07
SP 800-53 Rev 5.1.1: SR-06</t>
  </si>
  <si>
    <t>CCMv4.0: STA-01
CCMv4.0: STA-06
CCMv4.0: STA-08
CIS Controls v8.0: 15.2
CRI Profile v2.0: GV.SC-01
CRI Profile v2.0: GV.SC-01.01
CRI Profile v2.0: GV.SC-01.02
CSF v1.1: ID.SC-1
SP 800-221A: GV.PO-1
SP 800-53 Rev 5.1.1: PM-30
SP 800-53 Rev 5.1.1: SR-02
SP 800-53 Rev 5.1.1: SR-03</t>
  </si>
  <si>
    <t>CCMv4.0: HRS-09
CCMv4.0: HRS-10
CCMv4.0: HRS-13
CCMv4.0: IAM-11
CCMv4.0: STA-01
CCMv4.0: STA-02
CCMv4.0: STA-03
CCMv4.0: STA-04
CCMv4.0: STA-05
CCMv4.0: STA-06
CCMv4.0: STA-12
CCMv4.0: UEM-14
CIS Controls v8.0: 15.4
CRI Profile v2.0: GV.SC-02
CRI Profile v2.0: GV.SC-02.01
CSF v1.1: ID.AM-6
SP 800-218: PO.2.1
SP 800-221A: GV.RR-1
SP 800-221A: GV.RR-2
SP 800-53 Rev 5.1.1: SR-02
SP 800-53 Rev 5.1.1: SR-03
SP 800-53 Rev 5.1.1: SR-05</t>
  </si>
  <si>
    <t>CCMv4.0: STA-01
CCMv4.0: STA-06
CCMv4.0: STA-08
CCMv4.0: STA-11
CCMv4.0: STA-12
CCMv4.0: UEM-14
CRI Profile v2.0: GV.SC-03
CRI Profile v2.0: GV.SC-03.01
CSF v1.1: ID.SC-2
SP 800-218: PW.4.1
SP 800-221A: GV.CT-2
SP 800-221A: GV.CT-3
SP 800-53 Rev 5.1.1: AC-01
SP 800-53 Rev 5.1.1: AT-01
SP 800-53 Rev 5.1.1: AU-01
SP 800-53 Rev 5.1.1: CA-01
SP 800-53 Rev 5.1.1: CM-01
SP 800-53 Rev 5.1.1: CP-01
SP 800-53 Rev 5.1.1: IA-01
SP 800-53 Rev 5.1.1: IR-01
SP 800-53 Rev 5.1.1: MA-01
SP 800-53 Rev 5.1.1: MP-01
SP 800-53 Rev 5.1.1: PE-01
SP 800-53 Rev 5.1.1: PL-01
SP 800-53 Rev 5.1.1: PM-01
SP 800-53 Rev 5.1.1: PS-01
SP 800-53 Rev 5.1.1: PT-01
SP 800-53 Rev 5.1.1: RA-01
SP 800-53 Rev 5.1.1: SA-01
SP 800-53 Rev 5.1.1: SC-01
SP 800-53 Rev 5.1.1: SI-01
SP 800-53 Rev 5.1.1: SR-01
SP 800-53 Rev 5.1.1: PM-09
SP 800-53 Rev 5.1.1: PM-18
SP 800-53 Rev 5.1.1: PM-30
SP 800-53 Rev 5.1.1: PM-31
SP 800-53 Rev 5.1.1: SR-02
SP 800-53 Rev 5.1.1: SR-03
SP 800-53 Rev 5.1.1: RA-03
SP 800-53 Rev 5.1.1: RA-07</t>
  </si>
  <si>
    <t>CCMv4.0: STA-07
CIS Controls v8.0: 15.1
CIS Controls v8.0: 15.3
CRI Profile v2.0: GV.SC-04
CRI Profile v2.0: GV.SC-04.01
CSF v1.1: ID.SC-2
SP 800-221A: GV.CT-2
SP 800-221A: GV.CT-3
SP 800-53 Rev 5.1.1: RA-09
SP 800-53 Rev 5.1.1: SA-09
SP 800-53 Rev 5.1.1: SR-06</t>
  </si>
  <si>
    <t>CCMv4.0: CCC-05
CCMv4.0: CEK-08
CCMv4.0: DSP-13
CCMv4.0: DSP-14
CCMv4.0: IPY-04
CCMv4.0: STA-02
CCMv4.0: STA-03
CCMv4.0: STA-04
CCMv4.0: STA-08
CCMv4.0: STA-09
CCMv4.0: STA-12
CCMv4.0: STA-13
CCMv4.0: UEM-14
CIS Controls v8.0: 15.4
CRI Profile v2.0: EX.CN
CRI Profile v2.0: EX.CN-01
CRI Profile v2.0: EX.CN-02
CRI Profile v2.0: EX.CN-01.01
CRI Profile v2.0: EX.CN-01.02
CRI Profile v2.0: EX.CN-01.03
CRI Profile v2.0: EX.CN-02.01
CRI Profile v2.0: EX.CN-02.02
CRI Profile v2.0: EX.CN-02.03
CRI Profile v2.0: EX.CN-02.04
CSF v1.1: ID.SC-3
SP 800-218: PO.1.3
SP 800-53 Rev 5.1.1: SA-04
SP 800-53 Rev 5.1.1: SA-09
SP 800-53 Rev 5.1.1: SR-03
SP 800-53 Rev 5.1.1: SR-05
SP 800-53 Rev 5.1.1: SR-06
SP 800-53 Rev 5.1.1: SR-10</t>
  </si>
  <si>
    <t>CCMv4.0: STA-01
CCMv4.0: STA-08
CCMv4.0: STA-11
CIS Controls v8.0: 15.5
CRI Profile v2.0: EX.DD
CRI Profile v2.0: EX.DD-01
CRI Profile v2.0: EX.DD-02
CRI Profile v2.0: EX.DD-01.01
CRI Profile v2.0: EX.DD-01.02
CRI Profile v2.0: EX.DD-01.03
CRI Profile v2.0: EX.DD-02.01
CRI Profile v2.0: EX.DD-02.02
CRI Profile v2.0: EX.DD-02.03
CRI Profile v2.0: EX.DD-02.04
CSF v1.1: ID.SC-1
SP 800-221A: GV.PO-1
SP 800-53 Rev 5.1.1: SA-04
SP 800-53 Rev 5.1.1: SA-09
SP 800-53 Rev 5.1.1: SR-05
SP 800-53 Rev 5.1.1: SR-06</t>
  </si>
  <si>
    <t>CCMv4.0: STA-01
CCMv4.0: STA-08
CCMv4.0: STA-10
CCMv4.0: STA-11
CCMv4.0: STA-12
CCMv4.0: STA-13
CCMv4.0: STA-14
CCMv4.0: UEM-14
CIS Controls v8.0: 15.6
CRI Profile v2.0: EX.MM
CRI Profile v2.0: EX.MM-01
CRI Profile v2.0: EX.MM-02
CRI Profile v2.0: EX.MM-01.01
CRI Profile v2.0: EX.MM-01.02
CRI Profile v2.0: EX.MM-01.03
CRI Profile v2.0: EX.MM-01.04
CRI Profile v2.0: EX.MM-01.05
CRI Profile v2.0: EX.MM-01.06
CRI Profile v2.0: EX.MM-02.01
CRI Profile v2.0: EX.MM-02.02
CRI Profile v2.0: EX.MM-02.03
CSF v1.1: ID.SC-2
CSF v1.1: ID.SC-4
SP 800-218: PW.4.1
SP 800-218: PW.4.4
SP 800-221A: GV.CT-2
SP 800-221A: GV.CT-3
SP 800-221A: MA.RM-2
SP 800-221A: MA.RM-3
SP 800-53 Rev 5.1.1: RA-09
SP 800-53 Rev 5.1.1: SA-04
SP 800-53 Rev 5.1.1: SA-09
SP 800-53 Rev 5.1.1: SR-03
SP 800-53 Rev 5.1.1: SR-06</t>
  </si>
  <si>
    <t>CCMv4.0: BCR-06
CCMv4.0: BCR-07
CCMv4.0: DSP-18
CCMv4.0: SEF-03
CCMv4.0: SEF-04
CCMv4.0: SEF-07
CCMv4.0: UEM-14
CIS Controls v8.0: 15.4
CRI Profile v2.0: GV.SC-08
CRI Profile v2.0: GV.SC-08.01
CSF v1.1: ID.SC-5
SP 800-221A: GV.CT-3
SP 800-53 Rev 5.1.1: SA-04
SP 800-53 Rev 5.1.1: SA-09
SP 800-53 Rev 5.1.1: SR-02
SP 800-53 Rev 5.1.1: SR-03
SP 800-53 Rev 5.1.1: SR-08
SP 800-53 Rev 5.1.1: CP-01
SP 800-53 Rev 5.1.1: IR-01</t>
  </si>
  <si>
    <t>CCMv4.0: STA-11
CCMv4.0: STA-12
CIS Controls v8.0: 15.6
CRI Profile v2.0: GV.SC-09
CRI Profile v2.0: GV.SC-09.01
CSF v1.1: ID.SC-1
SP 800-221A: GV.PO-1
SP 800-53 Rev 5.1.1: PM-09
SP 800-53 Rev 5.1.1: PM-19
SP 800-53 Rev 5.1.1: PM-28
SP 800-53 Rev 5.1.1: PM-30
SP 800-53 Rev 5.1.1: PM-31
SP 800-53 Rev 5.1.1: RA-03
SP 800-53 Rev 5.1.1: RA-07
SP 800-53 Rev 5.1.1: SA-04
SP 800-53 Rev 5.1.1: SA-09
SP 800-53 Rev 5.1.1: SR-02
SP 800-53 Rev 5.1.1: SR-03
SP 800-53 Rev 5.1.1: SR-05
SP 800-53 Rev 5.1.1: SR-06</t>
  </si>
  <si>
    <t>CCMv4.0: DSP-02
CCMv4.0: DSP-16
CCMv4.0: HRS-05
CCMv4.0: IAM-07
CCMv4.0: IPY-04
CCMv4.0: SEF-04
CIS Controls v8.0: 15.7
CRI Profile v2.0: EX.TR
CRI Profile v2.0: EX.TR-01
CRI Profile v2.0: EX.TR-02
CRI Profile v2.0: EX.TR-01.01
CRI Profile v2.0: EX.TR-01.02
CRI Profile v2.0: EX.TR-01.03
CRI Profile v2.0: EX.TR-02.01
CSF v1.1: ID.SC-1
SP 800-221A: GV.PO-1
SP 800-53 Rev 5.1.1: PM-31
SP 800-53 Rev 5.1.1: RA-03
SP 800-53 Rev 5.1.1: RA-05
SP 800-53 Rev 5.1.1: RA-07
SP 800-53 Rev 5.1.1: SA-04
SP 800-53 Rev 5.1.1: SA-09
SP 800-53 Rev 5.1.1: SR-02
SP 800-53 Rev 5.1.1: SR-03
SP 800-53 Rev 5.1.1: SR-05
SP 800-53 Rev 5.1.1: SR-06</t>
  </si>
  <si>
    <t>CCMv4.0: CCC-04
CCMv4.0: DCS-06
CCMv4.0: DSP-19
CCMv4.0: UEM-04
CIS Controls v8.0: 1.1
CRI Profile v2.0: ID.AM-01
CRI Profile v2.0: ID.AM-01.01
CSF v1.1: ID.AM-1
SP 800-221A: MA.RI-1
SP 800-53 Rev 5.1.1: CM-08
SP 800-53 Rev 5.1.1: PM-05</t>
  </si>
  <si>
    <t>CCMv4.0: CCC-04
CCMv4.0: DCS-06
CCMv4.0: DSP-19
CCMv4.0: UEM-02
CCMv4.0: UEM-04
CIS Controls v8.0: 2.1
CRI Profile v2.0: ID.AM-02
CRI Profile v2.0: ID.AM-02.01
CSF v1.1: ID.AM-2
SP 800-221A: MA.RI-1
SP 800-53 Rev 5.1.1: AC-20
SP 800-53 Rev 5.1.1: CM-08
SP 800-53 Rev 5.1.1: PM-05
SP 800-53 Rev 5.1.1: SA-05
SP 800-53 Rev 5.1.1: SA-09</t>
  </si>
  <si>
    <t>CCMv4.0: DSP-05
CCMv4.0: DSP-10
CCMv4.0: IPY-01
CCMv4.0: IVS-03
CCMv4.0: IVS-09
CCMv4.0: LOG-05
CIS Controls v8.0: 3.8
CRI Profile v2.0: ID.AM-03
CRI Profile v2.0: ID.AM-03.01
CSF v1.1: ID.AM-3
CSF v1.1: DE.AE-1
SP 800-53 Rev 5.1.1: AC-04
SP 800-53 Rev 5.1.1: CA-03
SP 800-53 Rev 5.1.1: CA-09
SP 800-53 Rev 5.1.1: PL-02
SP 800-53 Rev 5.1.1: PL-08
SP 800-53 Rev 5.1.1: PM-07</t>
  </si>
  <si>
    <t>CCMv4.0: CCC-04
CCMv4.0: DCS-06
CCMv4.0: STA-07
CCMv4.0: UEM-02
CCMv4.0: UEM-04
CIS Controls v8.0: 15.1
CRI Profile v2.0: ID.AM-04
CRI Profile v2.0: ID.AM-04.01
CSF v1.1: ID.AM-4
SP 800-53 Rev 5.1.1: AC-20
SP 800-53 Rev 5.1.1: SA-09
SP 800-53 Rev 5.1.1: SR-02</t>
  </si>
  <si>
    <t>CCMv4.0: CEK-04
CCMv4.0: DCS-05
CCMv4.0: DSP-04
CIS Controls v8.0: 3.7
CRI Profile v2.0: ID.AM-05
CRI Profile v2.0: ID.AM-05.01
CRI Profile v2.0: ID.AM-05.02
CSF v1.1: ID.AM-5
SP 800-221A: MA.RI-1
SP 800-53 Rev 5.1.1: RA-03
SP 800-53 Rev 5.1.1: RA-09
SP 800-53 Rev 5.1.1: RA-02</t>
  </si>
  <si>
    <t>CCMv4.0: DSP-01
CCMv4.0: DSP-03
CCMv4.0: DSP-04
CCMv4.0: DSP-06
CCMv4.0: DSP-10
CCMv4.0: DSP-19
CCMv4.0: UEM-02
CIS Controls v8.0: 3.2
CRI Profile v2.0: ID.AM-07
CRI Profile v2.0: ID.AM-07.01
SP 800-221A: MA.RI-1
SP 800-53 Rev 5.1.1: CM-12
SP 800-53 Rev 5.1.1: CM-13
SP 800-53 Rev 5.1.1: SI-12</t>
  </si>
  <si>
    <t>CCMv4.0: AIS-02
CCMv4.0: AIS-04
CCMv4.0: AIS-05
CCMv4.0: AIS-06
CCMv4.0: AIS-07
CCMv4.0: CCC-04
CCMv4.0: CEK-14
CCMv4.0: CEK-21
CCMv4.0: DCS-01
CCMv4.0: DCS-02
CCMv4.0: DSP-02
CCMv4.0: DSP-07
CCMv4.0: DSP-16
CCMv4.0: DSP-19
CCMv4.0: HRS-05
CCMv4.0: IVS-01
CCMv4.0: LOG-02
CCMv4.0: LOG-06
CCMv4.0: UEM-03
CCMv4.0: UEM-05
CCMv4.0: UEM-09
CCMv4.0: UEM-10
CCMv4.0: UEM-11
CCMv4.0: UEM-13
CIS Controls v8.0: 1.1
CIS Controls v8.0: 3.5
CRI Profile v2.0: ID.AM-08
CRI Profile v2.0: ID.AM-08.01
CRI Profile v2.0: ID.AM-08.02
CRI Profile v2.0: ID.AM-08.03
CRI Profile v2.0: ID.AM-08.04
CRI Profile v2.0: ID.AM-08.05
CRI Profile v2.0: ID.AM-08.06
CSF v1.1: PR.DS-3
CSF v1.1: PR.IP-2
CSF v1.1: PR.MA-1
CSF v1.1: PR.MA-2
CSF v1.1: PR.IP-6
CSF v1.1: PR.DS
SP 800-218: PW.4.1
SP 800-218: PW.4.4
SP 800-221A: MA.RI-1
SP 800-53 Rev 5.1.1: CM-09
SP 800-53 Rev 5.1.1: CM-13
SP 800-53 Rev 5.1.1: MA-02
SP 800-53 Rev 5.1.1: MA-06
SP 800-53 Rev 5.1.1: PL-02
SP 800-53 Rev 5.1.1: PM-22
SP 800-53 Rev 5.1.1: PM-23
SP 800-53 Rev 5.1.1: SA-03
SP 800-53 Rev 5.1.1: SA-04
SP 800-53 Rev 5.1.1: SA-08
SP 800-53 Rev 5.1.1: SA-22
SP 800-53 Rev 5.1.1: SI-12
SP 800-53 Rev 5.1.1: SI-18
SP 800-53 Rev 5.1.1: SR-05
SP 800-53 Rev 5.1.1: SR-12</t>
  </si>
  <si>
    <t>CCMv4.0: AIS-05
CCMv4.0: AIS-07
CCMv4.0: TVM-01
CCMv4.0: TVM-03
CCMv4.0: TVM-05
CCMv4.0: TVM-06
CCMv4.0: TVM-07
CCMv4.0: TVM-08
CCMv4.0: TVM-09
CCMv4.0: TVM-10
CIS Controls v8.0: 7.1
CRI Profile v2.0: ID.RA-01
CRI Profile v2.0: ID.RA-01.01
CRI Profile v2.0: ID.RA-01.02
CRI Profile v2.0: ID.RA-01.03
CSF v1.1: ID.RA-1
CSF v1.1: PR.IP-12
CSF v1.1: DE.CM-8
SP 800-218: PO.5.2
SP 800-221A: MA.RI-3
SP 800-53 Rev 5.1.1: CA-02
SP 800-53 Rev 5.1.1: CA-07
SP 800-53 Rev 5.1.1: CA-08
SP 800-53 Rev 5.1.1: RA-03
SP 800-53 Rev 5.1.1: RA-05
SP 800-53 Rev 5.1.1: SA-11(02)
SP 800-53 Rev 5.1.1: SA-15(07)
SP 800-53 Rev 5.1.1: SA-15(08)
SP 800-53 Rev 5.1.1: SI-04
SP 800-53 Rev 5.1.1: SI-05</t>
  </si>
  <si>
    <t>CCMv4.0: GRC-08
CCMv4.0: TVM-04
CRI Profile v2.0: ID.RA-02
CRI Profile v2.0: ID.RA-02.01
CRI Profile v2.0: ID.RA-02.02
CSF v1.1: ID.RA-2
SP 800-221A: GV.BE-4
SP 800-53 Rev 5.1.1: SI-05
SP 800-53 Rev 5.1.1: PM-15
SP 800-53 Rev 5.1.1: PM-16</t>
  </si>
  <si>
    <t>CCMv4.0: A&amp;A-05
CCMv4.0: TVM-05
CRI Profile v2.0: ID.RA-03
CRI Profile v2.0: ID.RA-03.01
CRI Profile v2.0: ID.RA-03.02
CRI Profile v2.0: ID.RA-03.03
CRI Profile v2.0: ID.RA-03.04
CSF v1.1: ID.RA-3
SP 800-221A: MA.RI-2
SP 800-53 Rev 5.1.1: PM-12
SP 800-53 Rev 5.1.1: PM-16
SP 800-53 Rev 5.1.1: RA-03
SP 800-53 Rev 5.1.1: SI-05</t>
  </si>
  <si>
    <t>CCMv4.0: A&amp;A-05
CCMv4.0: BCR-02
CCMv4.0: CEK-06
CCMv4.0: CEK-07
CCMv4.0: CEK-20
CCMv4.0: TVM-09
CRI Profile v2.0: ID.RA-04
CRI Profile v2.0: ID.RA-04.01
CSF v1.1: ID.RA-4
SP 800-221A: MA.RI-4
SP 800-53 Rev 5.1.1: PM-09
SP 800-53 Rev 5.1.1: PM-11
SP 800-53 Rev 5.1.1: RA-02
SP 800-53 Rev 5.1.1: RA-03
SP 800-53 Rev 5.1.1: RA-08
SP 800-53 Rev 5.1.1: RA-09</t>
  </si>
  <si>
    <t>CCMv4.0: A&amp;A-05
CCMv4.0: BCR-02
CCMv4.0: CEK-07
CCMv4.0: CEK-20
CCMv4.0: TVM-01
CCMv4.0: TVM-08
CRI Profile v2.0: ID.RA-05
CRI Profile v2.0: ID.RA-05.01
CRI Profile v2.0: ID.RA-05.02
CRI Profile v2.0: ID.RA-05.03
CRI Profile v2.0: ID.RA-05.04
CSF v1.1: ID.RA-5
SP 800-218: PW.1.1
SP 800-221A: MA.RA-2
SP 800-53 Rev 5.1.1: PM-16
SP 800-53 Rev 5.1.1: RA-02
SP 800-53 Rev 5.1.1: RA-03
SP 800-53 Rev 5.1.1: RA-07</t>
  </si>
  <si>
    <t>CCMv4.0: A&amp;A-05
CCMv4.0: A&amp;A-06
CCMv4.0: AIS-07
CCMv4.0: CEK-07
CCMv4.0: TVM-01
CCMv4.0: TVM-03
CCMv4.0: TVM-08
CCMv4.0: TVM-09
CCMv4.0: TVM-10
CRI Profile v2.0: ID.RA-06
CRI Profile v2.0: ID.RA-06.01
CRI Profile v2.0: ID.RA-06.02
CRI Profile v2.0: ID.RA-06.03
CRI Profile v2.0: ID.RA-06.04
CRI Profile v2.0: ID.RA-06.05
CRI Profile v2.0: ID.RA-06.06
CSF v1.1: ID.RA-6
CSF v1.1: RS.MI-3
SP 800-218: PO.5.2
SP 800-221A: MA.RP
SP 800-53 Rev 5.1.1: PM-09
SP 800-53 Rev 5.1.1: PM-18
SP 800-53 Rev 5.1.1: PM-30
SP 800-53 Rev 5.1.1: RA-07</t>
  </si>
  <si>
    <t>CCMv4.0: A&amp;A-05
CCMv4.0: AIS-06
CCMv4.0: CCC-02
CCMv4.0: CCC-03
CCMv4.0: CCC-06
CCMv4.0: CCC-08
CCMv4.0: CCC-09
CCMv4.0: CEK-05
CCMv4.0: CEK-06
CCMv4.0: GRC-04
CCMv4.0: UEM-07
CRI Profile v2.0: ID.RA-07
CRI Profile v2.0: ID.RA-07.01
CRI Profile v2.0: ID.RA-07.02
CRI Profile v2.0: ID.RA-07.03
CRI Profile v2.0: ID.RA-07.04
CRI Profile v2.0: ID.RA-07.05
CSF v1.1: PR.IP-3
SP 800-218: PO.5.2
SP 800-221A: MA.RI-3
SP 800-53 Rev 5.1.1: CA-07
SP 800-53 Rev 5.1.1: CM-03
SP 800-53 Rev 5.1.1: CM-04</t>
  </si>
  <si>
    <t>CCMv4.0: AIS-07
CCMv4.0: TVM-03
CCMv4.0: TVM-09
CIS Controls v8.0: 7.2
CRI Profile v2.0: ID.RA-08
CRI Profile v2.0: ID.RA-08.01
CRI Profile v2.0: ID.RA-08.02
CSF v1.1: RS.AN-5
SP 800-221A: MA.RI-3
SP 800-53 Rev 5.1.1: RA-05</t>
  </si>
  <si>
    <t>CCMv4.0: TVM-09
CRI Profile v2.0: EX.DD-04
CRI Profile v2.0: EX.DD-04.01
CRI Profile v2.0: EX.DD-04.02
CSF v1.1: PR.DS-8
SP 800-218: PO.5.2
SP 800-221A: MA.RI-3
SP 800-53 Rev 5.1.1: SA-04
SP 800-53 Rev 5.1.1: SA-05
SP 800-53 Rev 5.1.1: SA-10
SP 800-53 Rev 5.1.1: SA-11
SP 800-53 Rev 5.1.1: SA-15
SP 800-53 Rev 5.1.1: SA-17
SP 800-53 Rev 5.1.1: SI-07
SP 800-53 Rev 5.1.1: SR-05
SP 800-53 Rev 5.1.1: SR-06
SP 800-53 Rev 5.1.1: SR-10
SP 800-53 Rev 5.1.1: SR-11</t>
  </si>
  <si>
    <t>CCMv4.0: STA-08
CRI Profile v2.0: EX.DD-03
CRI Profile v2.0: EX.DD-03.01
CRI Profile v2.0: EX.DD-03.02
CRI Profile v2.0: EX.DD-03.03
CSF v1.1: ID.SC-2
CSF v1.1: ID.SC-4
SP 800-221A: GV.CT-2
SP 800-221A: GV.CT-3
SP 800-221A: MA.RM-2
SP 800-221A: MA.RM-3
SP 800-53 Rev 5.1.1: SR-06</t>
  </si>
  <si>
    <t>CCMv4.0: A&amp;A-02
CCMv4.0: A&amp;A-03
CCMv4.0: A&amp;A-04
CCMv4.0: A&amp;A-05
CCMv4.0: CEK-09
CCMv4.0: SEF-04
CCMv4.0: SEF-05
CCMv4.0: STA-06
CCMv4.0: STA-11
CCMv4.0: STA-13
CRI Profile v2.0: ID.IM-01
CRI Profile v2.0: ID.IM-01.01
CRI Profile v2.0: ID.IM-01.02
CRI Profile v2.0: ID.IM-01.03
CRI Profile v2.0: ID.IM-01.04
CRI Profile v2.0: ID.IM-01.05
SP 800-53 Rev 5.1.1: AC-01
SP 800-53 Rev 5.1.1: AT-01
SP 800-53 Rev 5.1.1: AU-01
SP 800-53 Rev 5.1.1: CA-01
SP 800-53 Rev 5.1.1: CM-01
SP 800-53 Rev 5.1.1: CP-01
SP 800-53 Rev 5.1.1: IA-01
SP 800-53 Rev 5.1.1: IR-01
SP 800-53 Rev 5.1.1: MA-01
SP 800-53 Rev 5.1.1: MP-01
SP 800-53 Rev 5.1.1: PE-01
SP 800-53 Rev 5.1.1: PL-01
SP 800-53 Rev 5.1.1: PM-01
SP 800-53 Rev 5.1.1: PS-01
SP 800-53 Rev 5.1.1: PT-01
SP 800-53 Rev 5.1.1: RA-01
SP 800-53 Rev 5.1.1: SA-01
SP 800-53 Rev 5.1.1: SC-01
SP 800-53 Rev 5.1.1: SI-01
SP 800-53 Rev 5.1.1: SR-01
SP 800-53 Rev 5.1.1: CA-02
SP 800-53 Rev 5.1.1: CA-05
SP 800-53 Rev 5.1.1: CA-07
SP 800-53 Rev 5.1.1: CA-08
SP 800-53 Rev 5.1.1: CP-02
SP 800-53 Rev 5.1.1: IR-04
SP 800-53 Rev 5.1.1: IR-08
SP 800-53 Rev 5.1.1: PL-02
SP 800-53 Rev 5.1.1: RA-03
SP 800-53 Rev 5.1.1: RA-05
SP 800-53 Rev 5.1.1: RA-07
SP 800-53 Rev 5.1.1: SA-08
SP 800-53 Rev 5.1.1: SA-11
SP 800-53 Rev 5.1.1: SA-17(06)
SP 800-53 Rev 5.1.1: SI-02
SP 800-53 Rev 5.1.1: SI-04
SP 800-53 Rev 5.1.1: SR-05</t>
  </si>
  <si>
    <t>CCMv4.0: BCR-06
CCMv4.0: BCR-07
CCMv4.0: BCR-10
CCMv4.0: SEF-01
CCMv4.0: SEF-03
CCMv4.0: SEF-04
CCMv4.0: SEF-05
CCMv4.0: STA-14
CCMv4.0: TVM-06
CCMv4.0: UEM-14
CIS Controls v8.0: 17.7
CRI Profile v2.0: ID.IM-02
CRI Profile v2.0: ID.IM-02.01
CRI Profile v2.0: ID.IM-02.02
CRI Profile v2.0: ID.IM-02.03
CRI Profile v2.0: ID.IM-02.04
CRI Profile v2.0: ID.IM-02.05
CRI Profile v2.0: ID.IM-02.06
CRI Profile v2.0: ID.IM-02.07
CRI Profile v2.0: ID.IM-02.08
CRI Profile v2.0: ID.IM-02.09
CSF v1.1: ID.SC-5
CSF v1.1: PR.IP-10
CSF v1.1: DE.DP-3
SP 800-221A: GV.CT-3
SP 800-53 Rev 5.1.1: AC-01
SP 800-53 Rev 5.1.1: AT-01
SP 800-53 Rev 5.1.1: AU-01
SP 800-53 Rev 5.1.1: CA-01
SP 800-53 Rev 5.1.1: CM-01
SP 800-53 Rev 5.1.1: CP-01
SP 800-53 Rev 5.1.1: IA-01
SP 800-53 Rev 5.1.1: IR-01
SP 800-53 Rev 5.1.1: MA-01
SP 800-53 Rev 5.1.1: MP-01
SP 800-53 Rev 5.1.1: PE-01
SP 800-53 Rev 5.1.1: PL-01
SP 800-53 Rev 5.1.1: PM-01
SP 800-53 Rev 5.1.1: PS-01
SP 800-53 Rev 5.1.1: PT-01
SP 800-53 Rev 5.1.1: RA-01
SP 800-53 Rev 5.1.1: SA-01
SP 800-53 Rev 5.1.1: SC-01
SP 800-53 Rev 5.1.1: SI-01
SP 800-53 Rev 5.1.1: SR-01
SP 800-53 Rev 5.1.1: CA-02
SP 800-53 Rev 5.1.1: CA-05
SP 800-53 Rev 5.1.1: CA-07
SP 800-53 Rev 5.1.1: CA-08
SP 800-53 Rev 5.1.1: CP-02
SP 800-53 Rev 5.1.1: CP-04
SP 800-53 Rev 5.1.1: IR-03
SP 800-53 Rev 5.1.1: IR-04
SP 800-53 Rev 5.1.1: IR-08
SP 800-53 Rev 5.1.1: PL-02
SP 800-53 Rev 5.1.1: PM-04
SP 800-53 Rev 5.1.1: PM-31
SP 800-53 Rev 5.1.1: RA-03
SP 800-53 Rev 5.1.1: RA-05
SP 800-53 Rev 5.1.1: RA-07
SP 800-53 Rev 5.1.1: SA-08
SP 800-53 Rev 5.1.1: SA-11
SP 800-53 Rev 5.1.1: SI-02
SP 800-53 Rev 5.1.1: SI-04
SP 800-53 Rev 5.1.1: SR-05</t>
  </si>
  <si>
    <t>CCMv4.0: A&amp;A-01
CCMv4.0: AIS-01
CCMv4.0: AIS-03
CCMv4.0: BCR-01
CCMv4.0: CCC-01
CCMv4.0: CEK-01
CCMv4.0: DCS-01
CCMv4.0: DCS-02
CCMv4.0: DCS-03
CCMv4.0: DCS-04
CCMv4.0: DSP-01
CCMv4.0: GRC-01
CCMv4.0: HRS-01
CCMv4.0: HRS-02
CCMv4.0: HRS-03
CCMv4.0: HRS-04
CCMv4.0: IAM-01
CCMv4.0: IAM-02
CCMv4.0: IPY-01
CCMv4.0: IVS-01
CCMv4.0: LOG-01
CCMv4.0: SEF-01
CCMv4.0: SEF-02
CCMv4.0: SEF-04
CCMv4.0: STA-01
CCMv4.0: TVM-01
CCMv4.0: TVM-02
CCMv4.0: UEM-01
CRI Profile v2.0: ID.IM-03
CRI Profile v2.0: ID.IM-03.01
CRI Profile v2.0: ID.IM-03.02
CSF v1.1: PR.IP-7
CSF v1.1: PR.IP-8
CSF v1.1: DE.DP-5
CSF v1.1: RS.IM-1
CSF v1.1: RS.IM-2
CSF v1.1: RC.IM-1
CSF v1.1: RC.IM-2
SP 800-221A: GV.AD-1
SP 800-221A: MA.RM-6
SP 800-221A: MA.IM-1
SP 800-53 Rev 5.1.1: AC-01
SP 800-53 Rev 5.1.1: AT-01
SP 800-53 Rev 5.1.1: AU-01
SP 800-53 Rev 5.1.1: CA-01
SP 800-53 Rev 5.1.1: CM-01
SP 800-53 Rev 5.1.1: CP-01
SP 800-53 Rev 5.1.1: IA-01
SP 800-53 Rev 5.1.1: IR-01
SP 800-53 Rev 5.1.1: MA-01
SP 800-53 Rev 5.1.1: MP-01
SP 800-53 Rev 5.1.1: PE-01
SP 800-53 Rev 5.1.1: PL-01
SP 800-53 Rev 5.1.1: PM-01
SP 800-53 Rev 5.1.1: PS-01
SP 800-53 Rev 5.1.1: PT-01
SP 800-53 Rev 5.1.1: RA-01
SP 800-53 Rev 5.1.1: SA-01
SP 800-53 Rev 5.1.1: SC-01
SP 800-53 Rev 5.1.1: SI-01
SP 800-53 Rev 5.1.1: SR-01
SP 800-53 Rev 5.1.1: CA-02
SP 800-53 Rev 5.1.1: CA-05
SP 800-53 Rev 5.1.1: CA-07
SP 800-53 Rev 5.1.1: CA-08
SP 800-53 Rev 5.1.1: CP-02
SP 800-53 Rev 5.1.1: IR-04
SP 800-53 Rev 5.1.1: IR-08
SP 800-53 Rev 5.1.1: PL-02
SP 800-53 Rev 5.1.1: PM-04
SP 800-53 Rev 5.1.1: PM-31
SP 800-53 Rev 5.1.1: RA-03
SP 800-53 Rev 5.1.1: RA-05
SP 800-53 Rev 5.1.1: RA-07
SP 800-53 Rev 5.1.1: SA-04
SP 800-53 Rev 5.1.1: SA-08
SP 800-53 Rev 5.1.1: SA-11
SP 800-53 Rev 5.1.1: SI-02
SP 800-53 Rev 5.1.1: SI-04
SP 800-53 Rev 5.1.1: SR-05</t>
  </si>
  <si>
    <t>CCMv4.0: BCR-01
CCMv4.0: BCR-04
CCMv4.0: BCR-05
CCMv4.0: BCR-09
CCMv4.0: CEK-20
CCMv4.0: SEF-01
CCMv4.0: SEF-02
CCMv4.0: SEF-03
CCMv4.0: SEF-04
CCMv4.0: SEF-05
CRI Profile v2.0: ID.IM-04
CRI Profile v2.0: ID.IM-04.01
CRI Profile v2.0: ID.IM-04.02
CRI Profile v2.0: ID.IM-04.03
CRI Profile v2.0: ID.IM-04.04
CRI Profile v2.0: ID.IM-04.05
CRI Profile v2.0: ID.IM-04.06
CRI Profile v2.0: ID.IM-04.07
CRI Profile v2.0: ID.IM-04.08
CSF v1.1: PR.IP-9
CSF v1.1: RS.IM-1
CSF v1.1: RC.IM-1
CSF v1.1: PR.IP-10
SP 800-221A: MA.RR-4
SP 800-221A: MA.IM-1
SP 800-53 Rev 5.1.1: CP-02
SP 800-53 Rev 5.1.1: IR-08
SP 800-53 Rev 5.1.1: PL-02
SP 800-53 Rev 5.1.1: SR-02</t>
  </si>
  <si>
    <t>CCMv4.0: CEK-01
CCMv4.0: CEK-10
CCMv4.0: CEK-11
CCMv4.0: CEK-12
CCMv4.0: CEK-13
CCMv4.0: CEK-14
CCMv4.0: CEK-15
CCMv4.0: CEK-16
CCMv4.0: CEK-17
CCMv4.0: CEK-18
CCMv4.0: CEK-19
CCMv4.0: CEK-20
CCMv4.0: CEK-21
CCMv4.0: DCS-08
CCMv4.0: IAM-01
CCMv4.0: IAM-03
CCMv4.0: IAM-06
CCMv4.0: IAM-07
CCMv4.0: IAM-09
CCMv4.0: IAM-13
CCMv4.0: IAM-14
CCMv4.0: IAM-15
CCMv4.0: IAM-16
CCMv4.0: UEM-14
CIS Controls v8.0: 5.1
CIS Controls v8.0: 6.7
CRI Profile v2.0: PR.AA-01
CRI Profile v2.0: PR.AA-01.01
CRI Profile v2.0: PR.AA-01.02
CSF v1.1: PR.AC-1
SP 800-53 Rev 5.1.1: AC-01
SP 800-53 Rev 5.1.1: AC-02
SP 800-53 Rev 5.1.1: AC-14
SP 800-53 Rev 5.1.1: IA-01
SP 800-53 Rev 5.1.1: IA-02
SP 800-53 Rev 5.1.1: IA-03
SP 800-53 Rev 5.1.1: IA-04
SP 800-53 Rev 5.1.1: IA-05
SP 800-53 Rev 5.1.1: IA-06
SP 800-53 Rev 5.1.1: IA-07
SP 800-53 Rev 5.1.1: IA-08
SP 800-53 Rev 5.1.1: IA-09
SP 800-53 Rev 5.1.1: IA-10
SP 800-53 Rev 5.1.1: IA-11</t>
  </si>
  <si>
    <t>CCMv4.0: IAM-01
CCMv4.0: IAM-03
CCMv4.0: IAM-13
CCMv4.0: IAM-14
CCMv4.0: IAM-16
CCMv4.0: UEM-14
CRI Profile v2.0: PR.AA-02
CRI Profile v2.0: PR.AA-02.01
CSF v1.1: PR.AC-6
SP 800-53 Rev 5.1.1: IA-12</t>
  </si>
  <si>
    <t>CCMv4.0: DCS-08
CCMv4.0: IAM-01
CCMv4.0: IAM-02
CCMv4.0: IAM-14
CCMv4.0: IAM-16
CCMv4.0: IVS-03
CCMv4.0: UEM-05
CCMv4.0: UEM-06
CCMv4.0: UEM-14
CRI Profile v2.0: PR.AA-03
CRI Profile v2.0: PR.AA-03.01
CRI Profile v2.0: PR.AA-03.02
CRI Profile v2.0: PR.AA-03.03
CSF v1.1: PR.AC-3
CSF v1.1: PR.AC-7
SP 800-218: PO.5.2
SP 800-53 Rev 5.1.1: AC-07
SP 800-53 Rev 5.1.1: AC-12
SP 800-53 Rev 5.1.1: IA-02
SP 800-53 Rev 5.1.1: IA-03
SP 800-53 Rev 5.1.1: IA-05
SP 800-53 Rev 5.1.1: IA-07
SP 800-53 Rev 5.1.1: IA-08
SP 800-53 Rev 5.1.1: IA-09
SP 800-53 Rev 5.1.1: IA-10
SP 800-53 Rev 5.1.1: IA-11</t>
  </si>
  <si>
    <t>CCMv4.0: IAM-01
CCMv4.0: IAM-03
CCMv4.0: IAM-16
CRI Profile v2.0: PR.AA-04
CRI Profile v2.0: PR.AA-04.01
SP 800-53 Rev 5.1.1: IA-13</t>
  </si>
  <si>
    <t>CCMv4.0: CCC-04
CCMv4.0: CEK-10
CCMv4.0: CEK-11
CCMv4.0: CEK-12
CCMv4.0: CEK-13
CCMv4.0: CEK-14
CCMv4.0: CEK-15
CCMv4.0: CEK-16
CCMv4.0: CEK-17
CCMv4.0: CEK-18
CCMv4.0: CEK-19
CCMv4.0: CEK-20
CCMv4.0: CEK-21
CCMv4.0: IAM-01
CCMv4.0: IAM-03
CCMv4.0: IAM-04
CCMv4.0: IAM-05
CCMv4.0: IAM-06
CCMv4.0: IAM-07
CCMv4.0: IAM-08
CCMv4.0: IAM-09
CCMv4.0: IAM-10
CCMv4.0: IAM-11
CCMv4.0: IAM-12
CCMv4.0: IAM-16
CCMv4.0: IVS-03
CCMv4.0: IVS-06
CCMv4.0: LOG-02
CCMv4.0: LOG-04
CCMv4.0: LOG-09
CCMv4.0: UEM-05
CCMv4.0: UEM-14
CIS Controls v8.0: 3.3
CIS Controls v8.0: 6.8
CRI Profile v2.0: PR.AA-05
CRI Profile v2.0: PR.AA-05.01
CRI Profile v2.0: PR.AA-05.02
CRI Profile v2.0: PR.AA-05.03
CRI Profile v2.0: PR.AA-05.04
CSF v1.1: PR.AC-1
CSF v1.1: PR.AC-3
CSF v1.1: PR.AC-4
SP 800-218: PO.5.2
SP 800-218: PS.1.1
SP 800-53 Rev 5.1.1: AC-01
SP 800-53 Rev 5.1.1: AC-02
SP 800-53 Rev 5.1.1: AC-03
SP 800-53 Rev 5.1.1: AC-05
SP 800-53 Rev 5.1.1: AC-06
SP 800-53 Rev 5.1.1: AC-10
SP 800-53 Rev 5.1.1: AC-16
SP 800-53 Rev 5.1.1: AC-17
SP 800-53 Rev 5.1.1: AC-18
SP 800-53 Rev 5.1.1: AC-19
SP 800-53 Rev 5.1.1: AC-24
SP 800-53 Rev 5.1.1: IA-13</t>
  </si>
  <si>
    <t>CCMv4.0: DCS-03
CCMv4.0: DCS-07
CCMv4.0: DCS-09
CCMv4.0: DCS-10
CCMv4.0: DCS-12
CCMv4.0: DCS-14
CCMv4.0: HRS-04
CCMv4.0: LOG-12
CCMv4.0: UEM-05
CCMv4.0: UEM-06
CCMv4.0: UEM-14
CRI Profile v2.0: PR.AA-06
CRI Profile v2.0: PR.AA-06.01
CRI Profile v2.0: PR.AA-06.02
CSF v1.1: PR.AC-2
CSF v1.1: PR.PT-4
SP 800-218: PO.5.2
SP 800-53 Rev 5.1.1: PE-02
SP 800-53 Rev 5.1.1: PE-03
SP 800-53 Rev 5.1.1: PE-04
SP 800-53 Rev 5.1.1: PE-05
SP 800-53 Rev 5.1.1: PE-06
SP 800-53 Rev 5.1.1: PE-08
SP 800-53 Rev 5.1.1: PE-18
SP 800-53 Rev 5.1.1: PE-19
SP 800-53 Rev 5.1.1: PE-20</t>
  </si>
  <si>
    <t>CCMv4.0: DCS-11
CCMv4.0: HRS-09
CCMv4.0: HRS-11
CCMv4.0: HRS-12
CCMv4.0: HRS-13
CCMv4.0: SEF-02
CCMv4.0: SEF-03
CCMv4.0: UEM-14
CIS Controls v8.0: 14.1
CRI Profile v2.0: PR.AT-01
CRI Profile v2.0: PR.AT-01.01
CRI Profile v2.0: PR.AT-01.02
CRI Profile v2.0: PR.AT-01.03
CRI Profile v2.0: PR.AT-01.04
CSF v1.1: PR.AT-1
CSF v1.1: PR.AT-3
CSF v1.1: RS.CO-1
SP 800-218: PO.2.2
SP 800-221A: GV.CT-3
SP 800-221A: GV.RR-2
SP 800-53 Rev 5.1.1: AT-02
SP 800-53 Rev 5.1.1: AT-03</t>
  </si>
  <si>
    <t>CCMv4.0: DCS-11
CCMv4.0: HRS-09
CCMv4.0: HRS-12
CCMv4.0: HRS-13
CCMv4.0: SEF-03
CCMv4.0: UEM-14
CIS Controls v8.0: 14.9
CRI Profile v2.0: PR.AT-02
CRI Profile v2.0: PR.AT-02.01
CRI Profile v2.0: PR.AT-02.02
CRI Profile v2.0: PR.AT-02.03
CRI Profile v2.0: PR.AT-02.04
CRI Profile v2.0: PR.AT-02.05
CRI Profile v2.0: PR.AT-02.06
CRI Profile v2.0: PR.AT-02.07
CRI Profile v2.0: PR.AT-02.08
CSF v1.1: PR.AT-2
CSF v1.1: PR.AT-3
CSF v1.1: PR.AT-4
CSF v1.1: PR.AT-5
SP 800-218: PO.2.2
SP 800-221A: GV.CT-3
SP 800-221A: GV.CT-4
SP 800-221A: GV.RR-2
SP 800-53 Rev 5.1.1: AT-03</t>
  </si>
  <si>
    <t>CCMv4.0: BCR-08
CCMv4.0: CEK-03
CCMv4.0: CEK-04
CCMv4.0: CEK-18
CCMv4.0: CEK-19
CCMv4.0: DCS-04
CCMv4.0: DSP-17
CCMv4.0: HRS-04
CCMv4.0: LOG-02
CCMv4.0: LOG-09
CCMv4.0: UEM-05
CCMv4.0: UEM-08
CIS Controls v8.0: 3.11
CRI Profile v2.0: PR.DS-01
CRI Profile v2.0: PR.DS-01.01
CRI Profile v2.0: PR.DS-01.02
CRI Profile v2.0: PR.DS-01.03
CSF v1.1: PR.DS-1
CSF v1.1: PR.DS-5
CSF v1.1: PR.DS-6
CSF v1.1: PR.PT-2
SP 800-218: PS.1.1
SP 800-218: PS.2.1
SP 800-218: PS.3.1
SP 800-53 Rev 5.1.1: CA-03
SP 800-53 Rev 5.1.1: CP-09
SP 800-53 Rev 5.1.1: MP-08
SP 800-53 Rev 5.1.1: SC-04
SP 800-53 Rev 5.1.1: SC-07
SP 800-53 Rev 5.1.1: SC-12
SP 800-53 Rev 5.1.1: SC-13
SP 800-53 Rev 5.1.1: SC-28
SP 800-53 Rev 5.1.1: SC-32
SP 800-53 Rev 5.1.1: SC-39
SP 800-53 Rev 5.1.1: SC-43
SP 800-53 Rev 5.1.1: SI-03
SP 800-53 Rev 5.1.1: SI-04
SP 800-53 Rev 5.1.1: SI-07</t>
  </si>
  <si>
    <t>CCMv4.0: CEK-03
CCMv4.0: CEK-04
CCMv4.0: CEK-19
CCMv4.0: DCS-02
CCMv4.0: DSP-10
CCMv4.0: DSP-17
CCMv4.0: HRS-04
CCMv4.0: IPY-03
CCMv4.0: IVS-03
CCMv4.0: IVS-07
CCMv4.0: LOG-02
CCMv4.0: LOG-09
CCMv4.0: UEM-05
CCMv4.0: UEM-11
CIS Controls v8.0: 3.10
CRI Profile v2.0: PR.DS-02
CRI Profile v2.0: PR.DS-02.01
CSF v1.1: PR.DS-2
CSF v1.1: PR.DS-5
SP 800-53 Rev 5.1.1: AU-16
SP 800-53 Rev 5.1.1: CA-03
SP 800-53 Rev 5.1.1: SC-04
SP 800-53 Rev 5.1.1: SC-07
SP 800-53 Rev 5.1.1: SC-08
SP 800-53 Rev 5.1.1: SC-11
SP 800-53 Rev 5.1.1: SC-12
SP 800-53 Rev 5.1.1: SC-13
SP 800-53 Rev 5.1.1: SC-16
SP 800-53 Rev 5.1.1: SC-40
SP 800-53 Rev 5.1.1: SC-43
SP 800-53 Rev 5.1.1: SI-03
SP 800-53 Rev 5.1.1: SI-04
SP 800-53 Rev 5.1.1: SI-07</t>
  </si>
  <si>
    <t>CCMv4.0: DSP-17
CCMv4.0: HRS-04
CCMv4.0: UEM-11
CRI Profile v2.0: PR.DS-10
CRI Profile v2.0: PR.DS-10.01
CSF v1.1: PR.DS-5
SP 800-53 Rev 5.1.1: AC-02
SP 800-53 Rev 5.1.1: AC-03
SP 800-53 Rev 5.1.1: AC-04
SP 800-53 Rev 5.1.1: AU-09
SP 800-53 Rev 5.1.1: AU-13
SP 800-53 Rev 5.1.1: CA-03
SP 800-53 Rev 5.1.1: CP-09
SP 800-53 Rev 5.1.1: SA-08
SP 800-53 Rev 5.1.1: SC-04
SP 800-53 Rev 5.1.1: SC-07
SP 800-53 Rev 5.1.1: SC-11
SP 800-53 Rev 5.1.1: SC-13
SP 800-53 Rev 5.1.1: SC-24
SP 800-53 Rev 5.1.1: SC-32
SP 800-53 Rev 5.1.1: SC-39
SP 800-53 Rev 5.1.1: SC-40
SP 800-53 Rev 5.1.1: SC-43
SP 800-53 Rev 5.1.1: SI-03
SP 800-53 Rev 5.1.1: SI-04
SP 800-53 Rev 5.1.1: SI-07
SP 800-53 Rev 5.1.1: SI-10
SP 800-53 Rev 5.1.1: SI-16</t>
  </si>
  <si>
    <t>CCMv4.0: BCR-08
CCMv4.0: CEK-18
CCMv4.0: DSP-16
CCMv4.0: DSP-19
CCMv4.0: LOG-02
CCMv4.0: LOG-09
CIS Controls v8.0: 11.2
CIS Controls v8.0: 11.3
CIS Controls v8.0: 11.5
CRI Profile v2.0: PR.DS-11
CRI Profile v2.0: PR.DS-11.01
CSF v1.1: PR.IP-4
SP 800-218: PS.3.1
SP 800-53 Rev 5.1.1: CP-06
SP 800-53 Rev 5.1.1: CP-09</t>
  </si>
  <si>
    <t>CCMv4.0: AIS-02
CCMv4.0: AIS-04
CCMv4.0: AIS-05
CCMv4.0: AIS-06
CCMv4.0: CCC-01
CCMv4.0: CCC-02
CCMv4.0: CCC-06
CCMv4.0: CCC-07
CCMv4.0: IVS-04
CCMv4.0: IVS-06
CCMv4.0: UEM-05
CCMv4.0: UEM-06
CCMv4.0: UEM-07
CCMv4.0: UEM-09
CCMv4.0: UEM-10
CCMv4.0: UEM-11
CCMv4.0: UEM-12
CCMv4.0: UEM-13
CIS Controls v8.0: 4.1
CIS Controls v8.0: 4.2
CRI Profile v2.0: PR.PS-01
CRI Profile v2.0: PR.PS-01.01
CRI Profile v2.0: PR.PS-01.02
CRI Profile v2.0: PR.PS-01.03
CRI Profile v2.0: PR.PS-01.04
CRI Profile v2.0: PR.PS-01.05
CRI Profile v2.0: PR.PS-01.06
CRI Profile v2.0: PR.PS-01.07
CRI Profile v2.0: PR.PS-01.08
CRI Profile v2.0: PR.PS-01.09
CSF v1.1: PR.IP-1
CSF v1.1: PR.IP-3
CSF v1.1: PR.PT-2
CSF v1.1: PR.PT-3
SP 800-218: PO.5.2
SP 800-218: PS.1.1
SP 800-53 Rev 5.1.1: CM-01
SP 800-53 Rev 5.1.1: CM-02
SP 800-53 Rev 5.1.1: CM-03
SP 800-53 Rev 5.1.1: CM-04
SP 800-53 Rev 5.1.1: CM-05
SP 800-53 Rev 5.1.1: CM-06
SP 800-53 Rev 5.1.1: CM-07
SP 800-53 Rev 5.1.1: CM-08
SP 800-53 Rev 5.1.1: CM-09
SP 800-53 Rev 5.1.1: CM-10
SP 800-53 Rev 5.1.1: CM-11</t>
  </si>
  <si>
    <t>CCMv4.0: AIS-04
CCMv4.0: AIS-05
CCMv4.0: AIS-07
CCMv4.0: CCC-04
CCMv4.0: CCC-09
CCMv4.0: DSP-02
CCMv4.0: TVM-03
CCMv4.0: TVM-04
CCMv4.0: TVM-05
CCMv4.0: TVM-08
CCMv4.0: UEM-02
CCMv4.0: UEM-03
CCMv4.0: UEM-07
CIS Controls v8.0: 2.2
CIS Controls v8.0: 2.3
CRI Profile v2.0: PR.PS-02
CRI Profile v2.0: PR.PS-02.01
CRI Profile v2.0: PR.PS-02.02
CRI Profile v2.0: PR.PS-02.03
CSF v1.1: PR.IP-12
CSF v1.1: PR.MA-2
SP 800-218: PO.5.2
SP 800-53 Rev 5.1.1: CM-11
SP 800-53 Rev 5.1.1: MA-03(06)
SP 800-53 Rev 5.1.1: SA-10(01)
SP 800-53 Rev 5.1.1: SI-02
SP 800-53 Rev 5.1.1: SI-07</t>
  </si>
  <si>
    <t>CCMv4.0: CCC-04
CCMv4.0: DCS-01
CCMv4.0: DSP-02
CCMv4.0: TVM-03
CCMv4.0: TVM-08
CIS Controls v8.0: 1.2
CRI Profile v2.0: PR.PS-03
CRI Profile v2.0: PR.PS-03.01
CSF v1.1: PR.MA-1
CSF v1.1: PR.DS-3
SP 800-218: PO.5.2
SP 800-53 Rev 5.1.1: CM-07(09)
SP 800-53 Rev 5.1.1: SA-10(03)
SP 800-53 Rev 5.1.1: SC-03(01)
SP 800-53 Rev 5.1.1: SC-39(01)
SP 800-53 Rev 5.1.1: SC-49
SP 800-53 Rev 5.1.1: SC-51</t>
  </si>
  <si>
    <t>CCMv4.0: IAM-16
CCMv4.0: LOG-01
CCMv4.0: LOG-02
CCMv4.0: LOG-03
CCMv4.0: LOG-04
CCMv4.0: LOG-05
CCMv4.0: LOG-07
CCMv4.0: LOG-08
CCMv4.0: LOG-10
CCMv4.0: LOG-11
CCMv4.0: LOG-12
CCMv4.0: LOG-13
CIS Controls v8.0: 8.2
CRI Profile v2.0: PR.PS-04
CRI Profile v2.0: PR.PS-04.01
CRI Profile v2.0: PR.PS-04.02
CRI Profile v2.0: PR.PS-04.03
CSF v1.1: PR.PT-1
SP 800-218: PO.3.3
SP 800-53 Rev 5.1.1: AU-02
SP 800-53 Rev 5.1.1: AU-03
SP 800-53 Rev 5.1.1: AU-06
SP 800-53 Rev 5.1.1: AU-07
SP 800-53 Rev 5.1.1: AU-11
SP 800-53 Rev 5.1.1: AU-12</t>
  </si>
  <si>
    <t>CCMv4.0: CCC-04
CCMv4.0: UEM-02
CCMv4.0: UEM-09
CIS Controls v8.0: 2.5
CRI Profile v2.0: PR.PS-05
CRI Profile v2.0: PR.PS-05.01
CRI Profile v2.0: PR.PS-05.02
CRI Profile v2.0: PR.PS-05.03
SP 800-53 Rev 5.1.1: CM-07(02)
SP 800-53 Rev 5.1.1: CM-07(04)
SP 800-53 Rev 5.1.1: CM-07(05)
SP 800-53 Rev 5.1.1: SC-34</t>
  </si>
  <si>
    <t>CCMv4.0: AIS-04
CCMv4.0: AIS-06
CCMv4.0: AIS-07
CCMv4.0: DSP-07
CCMv4.0: IVS-06
CIS Controls v8.0: 16.1
CRI Profile v2.0: PR.PS-06
CRI Profile v2.0: PR.PS-06.01
CRI Profile v2.0: PR.PS-06.02
CRI Profile v2.0: PR.PS-06.03
CRI Profile v2.0: PR.PS-06.04
CRI Profile v2.0: PR.PS-06.05
CRI Profile v2.0: PR.PS-06.06
CRI Profile v2.0: PR.PS-06.07
CRI Profile v2.0: PR.PS-06.08
CRI Profile v2.0: PR.PS-06.09
CRI Profile v2.0: PR.PS-06.10
CSF v1.1: PR.IP-2
SP 800-53 Rev 5.1.1: SA-03
SP 800-53 Rev 5.1.1: SA-08
SP 800-53 Rev 5.1.1: SA-10
SP 800-53 Rev 5.1.1: SA-11
SP 800-53 Rev 5.1.1: SA-15
SP 800-53 Rev 5.1.1: SA-17</t>
  </si>
  <si>
    <t>CCMv4.0: AIS-04
CCMv4.0: AIS-06
CCMv4.0: DCS-12
CCMv4.0: DSP-10
CCMv4.0: DSP-15
CCMv4.0: IVS-03
CCMv4.0: IVS-05
CCMv4.0: IVS-06
CCMv4.0: IVS-09
CCMv4.0: UEM-05
CCMv4.0: UEM-14
CIS Controls v8.0: 3.12
CIS Controls v8.0: 12.2
CRI Profile v2.0: PR.IR-01
CRI Profile v2.0: PR.IR-01.01
CRI Profile v2.0: PR.IR-01.02
CRI Profile v2.0: PR.IR-01.03
CRI Profile v2.0: PR.IR-01.04
CRI Profile v2.0: PR.IR-01.05
CRI Profile v2.0: PR.IR-01.06
CRI Profile v2.0: PR.IR-01.07
CRI Profile v2.0: PR.IR-01.08
CSF v1.1: PR.AC-3
CSF v1.1: PR.AC-5
CSF v1.1: PR.DS-7
CSF v1.1: PR.PT-4
SP 800-218: PO.5.1
SP 800-53 Rev 5.1.1: AC-03
SP 800-53 Rev 5.1.1: AC-04
SP 800-53 Rev 5.1.1: SC-04
SP 800-53 Rev 5.1.1: SC-05
SP 800-53 Rev 5.1.1: SC-07</t>
  </si>
  <si>
    <t>CCMv4.0: DCS-03
CCMv4.0: DCS-13
CCMv4.0: DCS-14
CCMv4.0: DCS-15
CRI Profile v2.0: PR.IR-02
CRI Profile v2.0: PR.IR-02.01
CSF v1.1: PR.IP-5
SP 800-53 Rev 5.1.1: CP-02
SP 800-53 Rev 5.1.1: PE-09
SP 800-53 Rev 5.1.1: PE-10
SP 800-53 Rev 5.1.1: PE-11
SP 800-53 Rev 5.1.1: PE-12
SP 800-53 Rev 5.1.1: PE-13
SP 800-53 Rev 5.1.1: PE-14
SP 800-53 Rev 5.1.1: PE-15
SP 800-53 Rev 5.1.1: PE-18
SP 800-53 Rev 5.1.1: PE-23</t>
  </si>
  <si>
    <t>CCMv4.0: BCR-11
CRI Profile v2.0: PR.IR-03
CRI Profile v2.0: PR.IR-03.01
CSF v1.1: PR.PT-5
SP 800-53 Rev 5.1.1: CP
SP 800-53 Rev 5.1.1: IR
SP 800-53 Rev 5.1.1: SA-08
SP 800-53 Rev 5.1.1: SC-06
SP 800-53 Rev 5.1.1: SC-24
SP 800-53 Rev 5.1.1: SC-36
SP 800-53 Rev 5.1.1: SC-39
SP 800-53 Rev 5.1.1: SI-13</t>
  </si>
  <si>
    <t>CCMv4.0: IVS-02
CRI Profile v2.0: PR.IR-04
CRI Profile v2.0: PR.IR-04.01
CRI Profile v2.0: PR.IR-04.02
CSF v1.1: PR.DS-4
SP 800-53 Rev 5.1.1: CP-06
SP 800-53 Rev 5.1.1: CP-07
SP 800-53 Rev 5.1.1: CP-08
SP 800-53 Rev 5.1.1: PM-03
SP 800-53 Rev 5.1.1: PM-09</t>
  </si>
  <si>
    <t>CCMv4.0: IVS-03
CCMv4.0: IVS-09
CCMv4.0: LOG-01
CCMv4.0: LOG-03
CCMv4.0: LOG-05
CCMv4.0: LOG-08
CCMv4.0: TVM-02
CCMv4.0: TVM-10
CCMv4.0: UEM-10
CIS Controls v8.0: 13.1
CRI Profile v2.0: DE.CM-01
CRI Profile v2.0: DE.CM-01.01
CRI Profile v2.0: DE.CM-01.02
CRI Profile v2.0: DE.CM-01.03
CRI Profile v2.0: DE.CM-01.04
CRI Profile v2.0: DE.CM-01.05
CRI Profile v2.0: DE.CM-01.06
CSF v1.1: DE.CM-1
CSF v1.1: DE.CM-4
CSF v1.1: DE.CM-5
CSF v1.1: DE.CM-7
SP 800-53 Rev 5.1.1: AC-02
SP 800-53 Rev 5.1.1: AU-12
SP 800-53 Rev 5.1.1: CA-07
SP 800-53 Rev 5.1.1: CM-03
SP 800-53 Rev 5.1.1: SC-05
SP 800-53 Rev 5.1.1: SC-07
SP 800-53 Rev 5.1.1: SI-04</t>
  </si>
  <si>
    <t>CCMv4.0: DCS-09
CCMv4.0: DCS-10
CCMv4.0: DCS-14
CCMv4.0: LOG-01
CCMv4.0: LOG-03
CCMv4.0: LOG-05
CCMv4.0: LOG-08
CCMv4.0: LOG-12
CCMv4.0: TVM-10
CRI Profile v2.0: DE.CM-02
CRI Profile v2.0: DE.CM-02.01
CSF v1.1: DE.CM-2
SP 800-53 Rev 5.1.1: CA-07
SP 800-53 Rev 5.1.1: PE-03
SP 800-53 Rev 5.1.1: PE-06
SP 800-53 Rev 5.1.1: PE-20</t>
  </si>
  <si>
    <t>CCMv4.0: LOG-01
CCMv4.0: LOG-03
CCMv4.0: LOG-05
CCMv4.0: LOG-08
CCMv4.0: TVM-10
CIS Controls v8.0: 10.7
CRI Profile v2.0: DE.CM-03
CRI Profile v2.0: DE.CM-03.01
CRI Profile v2.0: DE.CM-03.02
CRI Profile v2.0: DE.CM-03.03
CSF v1.1: DE.CM-3
CSF v1.1: DE.CM-7
SP 800-53 Rev 5.1.1: AC-02
SP 800-53 Rev 5.1.1: AU-12
SP 800-53 Rev 5.1.1: AU-13
SP 800-53 Rev 5.1.1: CA-07
SP 800-53 Rev 5.1.1: CM-10
SP 800-53 Rev 5.1.1: CM-11</t>
  </si>
  <si>
    <t>CCMv4.0: LOG-01
CCMv4.0: LOG-03
CCMv4.0: LOG-05
CCMv4.0: LOG-08
CCMv4.0: TVM-10
CIS Controls v8.0: 15.2
CIS Controls v8.0: 15.6
CRI Profile v2.0: DE.CM-06
CRI Profile v2.0: DE.CM-06.01
CRI Profile v2.0: DE.CM-06.02
CSF v1.1: DE.CM-6
CSF v1.1: DE.CM-7
SP 800-53 Rev 5.1.1: CA-07
SP 800-53 Rev 5.1.1: PS-07
SP 800-53 Rev 5.1.1: SA-04
SP 800-53 Rev 5.1.1: SA-09
SP 800-53 Rev 5.1.1: SI-04</t>
  </si>
  <si>
    <t>CCMv4.0: CCC-07
CCMv4.0: IVS-06
CCMv4.0: LOG-01
CCMv4.0: LOG-03
CCMv4.0: LOG-05
CCMv4.0: LOG-08
CCMv4.0: LOG-10
CCMv4.0: LOG-11
CCMv4.0: TVM-02
CCMv4.0: TVM-10
CCMv4.0: UEM-09
CCMv4.0: UEM-10
CCMv4.0: UEM-11
CIS Controls v8.0: 10.1
CRI Profile v2.0: DE.CM-09
CRI Profile v2.0: DE.CM-09.01
CRI Profile v2.0: DE.CM-09.02
CRI Profile v2.0: DE.CM-09.03
CSF v1.1: PR.DS-6
CSF v1.1: PR.DS-8
CSF v1.1: DE.CM-4
CSF v1.1: DE.CM-5
CSF v1.1: DE.CM-7
SP 800-53 Rev 5.1.1: AC-04
SP 800-53 Rev 5.1.1: AC-09
SP 800-53 Rev 5.1.1: AU-12
SP 800-53 Rev 5.1.1: CA-07
SP 800-53 Rev 5.1.1: CM-03
SP 800-53 Rev 5.1.1: CM-06
SP 800-53 Rev 5.1.1: CM-10
SP 800-53 Rev 5.1.1: CM-11
SP 800-53 Rev 5.1.1: SC-34
SP 800-53 Rev 5.1.1: SC-35
SP 800-53 Rev 5.1.1: SI-04
SP 800-53 Rev 5.1.1: SI-07</t>
  </si>
  <si>
    <t>CCMv4.0: LOG-03
CCMv4.0: LOG-05
CCMv4.0: SEF-05
CCMv4.0: SEF-06
CCMv4.0: UEM-09
CIS Controls v8.0: 8.11
CRI Profile v2.0: DE.AE-02
CRI Profile v2.0: DE.AE-02.01
CRI Profile v2.0: DE.AE-02.02
CSF v1.1: DE.AE-2
SP 800-53 Rev 5.1.1: AU-06
SP 800-53 Rev 5.1.1: CA-07
SP 800-53 Rev 5.1.1: IR-04
SP 800-53 Rev 5.1.1: SI-04</t>
  </si>
  <si>
    <t>CCMv4.0: LOG-03
CCMv4.0: LOG-05
CCMv4.0: SEF-05
CRI Profile v2.0: DE.AE-03
CRI Profile v2.0: DE.AE-03.01
CRI Profile v2.0: DE.AE-03.02
CSF v1.1: DE.AE-3
SP 800-53 Rev 5.1.1: AU-06
SP 800-53 Rev 5.1.1: CA-07
SP 800-53 Rev 5.1.1: PM-16
SP 800-53 Rev 5.1.1: IR-04
SP 800-53 Rev 5.1.1: IR-05
SP 800-53 Rev 5.1.1: IR-08
SP 800-53 Rev 5.1.1: SI-04</t>
  </si>
  <si>
    <t>CCMv4.0: LOG-03
CCMv4.0: SEF-05
CCMv4.0: SEF-06
CRI Profile v2.0: DE.AE-04
CRI Profile v2.0: DE.AE-04.01
CSF v1.1: DE.AE-4
SP 800-53 Rev 5.1.1: PM-09
SP 800-53 Rev 5.1.1: PM-11
SP 800-53 Rev 5.1.1: PM-18
SP 800-53 Rev 5.1.1: PM-28
SP 800-53 Rev 5.1.1: PM-30</t>
  </si>
  <si>
    <t>CCMv4.0: CCC-07
CCMv4.0: LOG-03
CCMv4.0: LOG-05
CCMv4.0: LOG-13
CCMv4.0: SEF-05
CCMv4.0: SEF-06
CRI Profile v2.0: DE.AE-06
CRI Profile v2.0: DE.AE-06.01
CSF v1.1: DE.DP-4
SP 800-53 Rev 5.1.1: IR-04
SP 800-53 Rev 5.1.1: PM-15
SP 800-53 Rev 5.1.1: PM-16
SP 800-53 Rev 5.1.1: RA-03
SP 800-53 Rev 5.1.1: RA-10</t>
  </si>
  <si>
    <t>CCMv4.0: LOG-03
CCMv4.0: LOG-05
CCMv4.0: SEF-06
CRI Profile v2.0: DE.AE-07
CRI Profile v2.0: DE.AE-07.01
CRI Profile v2.0: DE.AE-07.02
CSF v1.1: DE.AE-3
SP 800-53 Rev 5.1.1: PM-16
SP 800-53 Rev 5.1.1: RA-03
SP 800-53 Rev 5.1.1: RA-10</t>
  </si>
  <si>
    <t>CCMv4.0: LOG-03
CCMv4.0: LOG-05
CCMv4.0: SEF-02
CCMv4.0: SEF-06
CCMv4.0: SEF-07
CRI Profile v2.0: DE.AE-08
CRI Profile v2.0: DE.AE-08.01
CSF v1.1: DE.AE-5
SP 800-53 Rev 5.1.1: IR-04
SP 800-53 Rev 5.1.1: IR-08</t>
  </si>
  <si>
    <t>CCMv4.0: BCR-07
CCMv4.0: IVS-09
CCMv4.0: SEF-01
CCMv4.0: SEF-03
CCMv4.0: SEF-07
CIS Controls v8.0: 17.4
CRI Profile v2.0: RS.MA-01
CRI Profile v2.0: RS.MA-01.01
CSF v1.1: RS.RP-1
CSF v1.1: RS.CO-4
SP 800-53 Rev 5.1.1: IR-06
SP 800-53 Rev 5.1.1: IR-07
SP 800-53 Rev 5.1.1: IR-08
SP 800-53 Rev 5.1.1: SR-03
SP 800-53 Rev 5.1.1: SR-08</t>
  </si>
  <si>
    <t>CCMv4.0: SEF-06
CRI Profile v2.0: RS.MA-02
CRI Profile v2.0: RS.MA-02.01
CSF v1.1: RS.AN-1
CSF v1.1: RS.AN-2
SP 800-53 Rev 5.1.1: IR-04
SP 800-53 Rev 5.1.1: IR-05
SP 800-53 Rev 5.1.1: IR-06</t>
  </si>
  <si>
    <t>CCMv4.0: SEF-02
CCMv4.0: SEF-06
CRI Profile v2.0: RS.MA-03
CRI Profile v2.0: RS.MA-03.01
CSF v1.1: RS.AN-4
CSF v1.1: RS.AN-2
SP 800-53 Rev 5.1.1: IR-04
SP 800-53 Rev 5.1.1: IR-05
SP 800-53 Rev 5.1.1: IR-06</t>
  </si>
  <si>
    <t>CCMv4.0: SEF-02
CRI Profile v2.0: RS.MA-04
CRI Profile v2.0: RS.MA-04.01
CSF v1.1: RS.AN-2
CSF v1.1: RS.CO-4
SP 800-53 Rev 5.1.1: IR-04
SP 800-53 Rev 5.1.1: IR-05
SP 800-53 Rev 5.1.1: IR-06
SP 800-53 Rev 5.1.1: IR-07</t>
  </si>
  <si>
    <t>CCMv4.0: SEF-02
CIS Controls v8.0: 17.9
CRI Profile v2.0: RS.MA-05
CRI Profile v2.0: RS.MA-05.01
SP 800-53 Rev 5.1.1: IR-04
SP 800-53 Rev 5.1.1: IR-08</t>
  </si>
  <si>
    <t>CCMv4.0: SEF-06
CIS Controls v8.0: 17.8
CRI Profile v2.0: RS.AN-03
CRI Profile v2.0: RS.AN-03.01
CSF v1.1: RS.AN-3
SP 800-53 Rev 5.1.1: AU-07
SP 800-53 Rev 5.1.1: IR-04</t>
  </si>
  <si>
    <t>CRI Profile v2.0: RS.AN-06
CRI Profile v2.0: RS.AN-06.01
CSF v1.1: RS.AN-3
SP 800-53 Rev 5.1.1: AU-07
SP 800-53 Rev 5.1.1: IR-04
SP 800-53 Rev 5.1.1: IR-06</t>
  </si>
  <si>
    <t>CRI Profile v2.0: RS.AN-07
CRI Profile v2.0: RS.AN-07.01
SP 800-53 Rev 5.1.1: AU-07
SP 800-53 Rev 5.1.1: IR-04
SP 800-53 Rev 5.1.1: IR-06</t>
  </si>
  <si>
    <t>CRI Profile v2.0: RS.AN-08
CRI Profile v2.0: RS.AN-08.01
SP 800-53 Rev 5.1.1: IR-04
SP 800-53 Rev 5.1.1: IR-08
SP 800-53 Rev 5.1.1: RA-03
SP 800-53 Rev 5.1.1: RA-07</t>
  </si>
  <si>
    <t>CCMv4.0: DSP-18
CCMv4.0: SEF-02
CCMv4.0: SEF-07
CCMv4.0: SEF-08
CIS Controls v8.0: 17.2
CRI Profile v2.0: RS.CO-02
CRI Profile v2.0: RS.CO-02.01
CRI Profile v2.0: RS.CO-02.02
CRI Profile v2.0: RS.CO-02.03
CSF v1.1: RS.CO-2
CSF v1.1: RS.CO-3
SP 800-53 Rev 5.1.1: IR-04
SP 800-53 Rev 5.1.1: IR-06
SP 800-53 Rev 5.1.1: IR-07
SP 800-53 Rev 5.1.1: SR-03
SP 800-53 Rev 5.1.1: SR-08</t>
  </si>
  <si>
    <t>CCMv4.0: BCR-07
CCMv4.0: DSP-18
CCMv4.0: SEF-07
CCMv4.0: SEF-08
CIS Controls v8.0: 17.2
CRI Profile v2.0: RS.CO-03
CRI Profile v2.0: RS.CO-03.01
CRI Profile v2.0: RS.CO-03.02
CSF v1.1: RS.CO-3
CSF v1.1: RS.CO-5
SP 800-53 Rev 5.1.1: IR-04
SP 800-53 Rev 5.1.1: IR-06
SP 800-53 Rev 5.1.1: IR-07
SP 800-53 Rev 5.1.1: SR-03
SP 800-53 Rev 5.1.1: SR-08</t>
  </si>
  <si>
    <t>CCMv4.0: CEK-19
CCMv4.0: CEK-20
CCMv4.0: IVS-09
CCMv4.0: SEF-02
CCMv4.0: UEM-09
CRI Profile v2.0: RS.MI-01
CRI Profile v2.0: RS.MI-01.01
CSF v1.1: RS.MI-1
SP 800-53 Rev 5.1.1: IR-04</t>
  </si>
  <si>
    <t>CCMv4.0: CEK-19
CCMv4.0: IVS-09
CCMv4.0: SEF-02
CCMv4.0: SEF-06
CRI Profile v2.0: RS.MI-02
CRI Profile v2.0: RS.MI-02.01
CSF v1.1: RS.MI-2
SP 800-53 Rev 5.1.1: IR-04</t>
  </si>
  <si>
    <t>CCMv4.0: BCR-01
CCMv4.0: SEF-03
CRI Profile v2.0: RC.RP-01
CRI Profile v2.0: RC.RP-01.01
CSF v1.1: RC.RP-1
SP 800-53 Rev 5.1.1: CP-10
SP 800-53 Rev 5.1.1: IR-04
SP 800-53 Rev 5.1.1: IR-08</t>
  </si>
  <si>
    <t>CCMv4.0: SEF-06
CRI Profile v2.0: RC.RP-02
CRI Profile v2.0: RC.RP-02.01
CRI Profile v2.0: RC.RP-02.02
CSF v1.1: RC.RP-1
SP 800-53 Rev 5.1.1: CP-10
SP 800-53 Rev 5.1.1: IR-04
SP 800-53 Rev 5.1.1: IR-08</t>
  </si>
  <si>
    <t>CCMv4.0: BCR-08
CIS Controls v8.0: 11.5
CRI Profile v2.0: RC.RP-03
CRI Profile v2.0: RC.RP-03.01
SP 800-53 Rev 5.1.1: CP-02
SP 800-53 Rev 5.1.1: CP-04
SP 800-53 Rev 5.1.1: CP-09</t>
  </si>
  <si>
    <t>CRI Profile v2.0: RC.RP-04
CRI Profile v2.0: RC.RP-04.01
SP 800-53 Rev 5.1.1: PM-08
SP 800-53 Rev 5.1.1: PM-09
SP 800-53 Rev 5.1.1: PM-11
SP 800-53 Rev 5.1.1: IR-01
SP 800-53 Rev 5.1.1: IR-08</t>
  </si>
  <si>
    <t>CRI Profile v2.0: RC.RP-05
CRI Profile v2.0: RC.RP-05.01
CRI Profile v2.0: RC.RP-05.02
SP 800-53 Rev 5.1.1: CP-10</t>
  </si>
  <si>
    <t>CRI Profile v2.0: RC.RP-06
CRI Profile v2.0: RC.RP-06.01
SP 800-53 Rev 5.1.1: IR-04
SP 800-53 Rev 5.1.1: IR-08</t>
  </si>
  <si>
    <t>CRI Profile v2.0: RC.CO-03
CRI Profile v2.0: RC.CO-03.01
CRI Profile v2.0: RC.CO-03.02
CSF v1.1: RC.CO-3
SP 800-221A: GV.CO-1
SP 800-53 Rev 5.1.1: IR-04
SP 800-53 Rev 5.1.1: IR-06
SP 800-53 Rev 5.1.1: SR-08</t>
  </si>
  <si>
    <t>CIS Controls v8.0: 17.2
CIS Controls v8.0: 17.6
CRI Profile v2.0: RC.CO-04
CRI Profile v2.0: RC.CO-04.01
CSF v1.1: RC.CO-1
CSF v1.1: RS.CO-2
SP 800-221A: GV.CO-1
SP 800-53 Rev 5.1.1: CP-02
SP 800-53 Rev 5.1.1: IR-04</t>
  </si>
  <si>
    <t>Maturity Level</t>
  </si>
  <si>
    <t>Score</t>
  </si>
  <si>
    <t>Description of the level</t>
  </si>
  <si>
    <t>Level 1: Performed</t>
  </si>
  <si>
    <t>Level 2: Documented</t>
  </si>
  <si>
    <t>Level 3: Managed</t>
  </si>
  <si>
    <t>Level 5: Optimizing</t>
  </si>
  <si>
    <t>Current Maturity Level</t>
  </si>
  <si>
    <t>Current Maturity Score</t>
  </si>
  <si>
    <t>Target Maturity Level</t>
  </si>
  <si>
    <t>Target Maturity Score</t>
  </si>
  <si>
    <r>
      <rPr>
        <b/>
        <sz val="10"/>
        <color indexed="8"/>
        <rFont val="Segoe UI"/>
        <family val="2"/>
      </rPr>
      <t>Ex1</t>
    </r>
    <r>
      <rPr>
        <sz val="10"/>
        <color indexed="8"/>
        <rFont val="Segoe UI"/>
        <family val="2"/>
      </rPr>
      <t>: Share the organization's mission (e.g., through vision and mission statements, marketing, and service strategies) to provide a basis for identifying risks that may impede that mission</t>
    </r>
  </si>
  <si>
    <r>
      <rPr>
        <b/>
        <sz val="10"/>
        <color indexed="8"/>
        <rFont val="Segoe UI"/>
        <family val="2"/>
      </rPr>
      <t>Ex1</t>
    </r>
    <r>
      <rPr>
        <sz val="10"/>
        <color indexed="8"/>
        <rFont val="Segoe UI"/>
        <family val="2"/>
      </rPr>
      <t>: Identify relevant internal stakeholders and their cybersecurity-related expectations (e.g., performance and risk expectations of officers, directors, and advisors; cultural expectations of employees)</t>
    </r>
    <r>
      <rPr>
        <sz val="10"/>
        <color theme="1"/>
        <rFont val="Segoe UI"/>
        <family val="2"/>
      </rPr>
      <t xml:space="preserve">
</t>
    </r>
    <r>
      <rPr>
        <b/>
        <sz val="10"/>
        <color indexed="8"/>
        <rFont val="Segoe UI"/>
        <family val="2"/>
      </rPr>
      <t>Ex2</t>
    </r>
    <r>
      <rPr>
        <sz val="10"/>
        <color indexed="8"/>
        <rFont val="Segoe UI"/>
        <family val="2"/>
      </rPr>
      <t>: Identify relevant external stakeholders and their cybersecurity-related expectations (e.g., privacy expectations of customers, business expectations of partnerships, compliance expectations of regulators, ethics expectations of society)</t>
    </r>
  </si>
  <si>
    <r>
      <rPr>
        <b/>
        <sz val="10"/>
        <color indexed="8"/>
        <rFont val="Segoe UI"/>
        <family val="2"/>
      </rPr>
      <t>Ex1</t>
    </r>
    <r>
      <rPr>
        <sz val="10"/>
        <color indexed="8"/>
        <rFont val="Segoe UI"/>
        <family val="2"/>
      </rPr>
      <t>: Determine a process to track and manage legal and regulatory requirements regarding protection of individuals' information (e.g., Health Insurance Portability and Accountability Act, California Consumer Privacy Act, General Data Protection Regulation)</t>
    </r>
    <r>
      <rPr>
        <sz val="10"/>
        <color theme="1"/>
        <rFont val="Segoe UI"/>
        <family val="2"/>
      </rPr>
      <t xml:space="preserve">
</t>
    </r>
    <r>
      <rPr>
        <b/>
        <sz val="10"/>
        <color indexed="8"/>
        <rFont val="Segoe UI"/>
        <family val="2"/>
      </rPr>
      <t>Ex2</t>
    </r>
    <r>
      <rPr>
        <sz val="10"/>
        <color indexed="8"/>
        <rFont val="Segoe UI"/>
        <family val="2"/>
      </rPr>
      <t>: Determine a process to track and manage contractual requirements for cybersecurity management of supplier, customer, and partner information</t>
    </r>
    <r>
      <rPr>
        <sz val="10"/>
        <color theme="1"/>
        <rFont val="Segoe UI"/>
        <family val="2"/>
      </rPr>
      <t xml:space="preserve">
</t>
    </r>
    <r>
      <rPr>
        <b/>
        <sz val="10"/>
        <color indexed="8"/>
        <rFont val="Segoe UI"/>
        <family val="2"/>
      </rPr>
      <t>Ex3</t>
    </r>
    <r>
      <rPr>
        <sz val="10"/>
        <color indexed="8"/>
        <rFont val="Segoe UI"/>
        <family val="2"/>
      </rPr>
      <t>: Align the organization's cybersecurity strategy with legal, regulatory, and contractual requirements</t>
    </r>
  </si>
  <si>
    <r>
      <rPr>
        <b/>
        <sz val="10"/>
        <color indexed="8"/>
        <rFont val="Segoe UI"/>
        <family val="2"/>
      </rPr>
      <t>Ex1</t>
    </r>
    <r>
      <rPr>
        <sz val="10"/>
        <color indexed="8"/>
        <rFont val="Segoe UI"/>
        <family val="2"/>
      </rPr>
      <t>: Establish criteria for determining the criticality of capabilities and services as viewed by internal and external stakeholders</t>
    </r>
    <r>
      <rPr>
        <sz val="10"/>
        <color theme="1"/>
        <rFont val="Segoe UI"/>
        <family val="2"/>
      </rPr>
      <t xml:space="preserve">
</t>
    </r>
    <r>
      <rPr>
        <b/>
        <sz val="10"/>
        <color indexed="8"/>
        <rFont val="Segoe UI"/>
        <family val="2"/>
      </rPr>
      <t>Ex2</t>
    </r>
    <r>
      <rPr>
        <sz val="10"/>
        <color indexed="8"/>
        <rFont val="Segoe UI"/>
        <family val="2"/>
      </rPr>
      <t>: Determine (e.g., from a business impact analysis) assets and business operations that are vital to achieving mission objectives and the potential impact of a loss (or partial loss) of such operations</t>
    </r>
    <r>
      <rPr>
        <sz val="10"/>
        <color theme="1"/>
        <rFont val="Segoe UI"/>
        <family val="2"/>
      </rPr>
      <t xml:space="preserve">
</t>
    </r>
    <r>
      <rPr>
        <b/>
        <sz val="10"/>
        <color indexed="8"/>
        <rFont val="Segoe UI"/>
        <family val="2"/>
      </rPr>
      <t>Ex3</t>
    </r>
    <r>
      <rPr>
        <sz val="10"/>
        <color indexed="8"/>
        <rFont val="Segoe UI"/>
        <family val="2"/>
      </rPr>
      <t>: Establish and communicate resilience objectives (e.g., recovery time objectives) for delivering critical capabilities and services in various operating states (e.g., under attack, during recovery, normal operation)</t>
    </r>
  </si>
  <si>
    <r>
      <rPr>
        <b/>
        <sz val="10"/>
        <color indexed="8"/>
        <rFont val="Segoe UI"/>
        <family val="2"/>
      </rPr>
      <t>Ex1</t>
    </r>
    <r>
      <rPr>
        <sz val="10"/>
        <color indexed="8"/>
        <rFont val="Segoe UI"/>
        <family val="2"/>
      </rPr>
      <t>: Create an inventory of the organization's dependencies on external resources (e.g., facilities, cloud-based hosting providers) and their relationships to organizational assets and business functions</t>
    </r>
    <r>
      <rPr>
        <sz val="10"/>
        <color theme="1"/>
        <rFont val="Segoe UI"/>
        <family val="2"/>
      </rPr>
      <t xml:space="preserve">
</t>
    </r>
    <r>
      <rPr>
        <b/>
        <sz val="10"/>
        <color indexed="8"/>
        <rFont val="Segoe UI"/>
        <family val="2"/>
      </rPr>
      <t>Ex2</t>
    </r>
    <r>
      <rPr>
        <sz val="10"/>
        <color indexed="8"/>
        <rFont val="Segoe UI"/>
        <family val="2"/>
      </rPr>
      <t>: Identify and document external dependencies that are potential points of failure for the organization's critical capabilities and services, and share that information with appropriate personnel</t>
    </r>
  </si>
  <si>
    <r>
      <rPr>
        <b/>
        <sz val="10"/>
        <color indexed="8"/>
        <rFont val="Segoe UI"/>
        <family val="2"/>
      </rPr>
      <t>Ex1</t>
    </r>
    <r>
      <rPr>
        <sz val="10"/>
        <color indexed="8"/>
        <rFont val="Segoe UI"/>
        <family val="2"/>
      </rPr>
      <t>: Update near-term and long-term cybersecurity risk management objectives as part of annual strategic planning and when major changes occur</t>
    </r>
    <r>
      <rPr>
        <sz val="10"/>
        <color theme="1"/>
        <rFont val="Segoe UI"/>
        <family val="2"/>
      </rPr>
      <t xml:space="preserve">
</t>
    </r>
    <r>
      <rPr>
        <b/>
        <sz val="10"/>
        <color indexed="8"/>
        <rFont val="Segoe UI"/>
        <family val="2"/>
      </rPr>
      <t>Ex2</t>
    </r>
    <r>
      <rPr>
        <sz val="10"/>
        <color indexed="8"/>
        <rFont val="Segoe UI"/>
        <family val="2"/>
      </rPr>
      <t>: Establish measurable objectives for cybersecurity risk management (e.g., manage the quality of user training, ensure adequate risk protection for industrial control systems)</t>
    </r>
    <r>
      <rPr>
        <sz val="10"/>
        <color theme="1"/>
        <rFont val="Segoe UI"/>
        <family val="2"/>
      </rPr>
      <t xml:space="preserve">
</t>
    </r>
    <r>
      <rPr>
        <b/>
        <sz val="10"/>
        <color indexed="8"/>
        <rFont val="Segoe UI"/>
        <family val="2"/>
      </rPr>
      <t>Ex3</t>
    </r>
    <r>
      <rPr>
        <sz val="10"/>
        <color indexed="8"/>
        <rFont val="Segoe UI"/>
        <family val="2"/>
      </rPr>
      <t>: Senior leaders agree about cybersecurity objectives and use them for measuring and managing risk and performance</t>
    </r>
  </si>
  <si>
    <r>
      <rPr>
        <b/>
        <sz val="10"/>
        <color indexed="8"/>
        <rFont val="Segoe UI"/>
        <family val="2"/>
      </rPr>
      <t>Ex1</t>
    </r>
    <r>
      <rPr>
        <sz val="10"/>
        <color indexed="8"/>
        <rFont val="Segoe UI"/>
        <family val="2"/>
      </rPr>
      <t>: Determine and communicate risk appetite statements that convey expectations about the appropriate level of risk for the organization</t>
    </r>
    <r>
      <rPr>
        <sz val="10"/>
        <color theme="1"/>
        <rFont val="Segoe UI"/>
        <family val="2"/>
      </rPr>
      <t xml:space="preserve">
</t>
    </r>
    <r>
      <rPr>
        <b/>
        <sz val="10"/>
        <color indexed="8"/>
        <rFont val="Segoe UI"/>
        <family val="2"/>
      </rPr>
      <t>Ex2</t>
    </r>
    <r>
      <rPr>
        <sz val="10"/>
        <color indexed="8"/>
        <rFont val="Segoe UI"/>
        <family val="2"/>
      </rPr>
      <t>: Translate risk appetite statements into specific, measurable, and broadly understandable risk tolerance statements</t>
    </r>
    <r>
      <rPr>
        <sz val="10"/>
        <color theme="1"/>
        <rFont val="Segoe UI"/>
        <family val="2"/>
      </rPr>
      <t xml:space="preserve">
</t>
    </r>
    <r>
      <rPr>
        <b/>
        <sz val="10"/>
        <color indexed="8"/>
        <rFont val="Segoe UI"/>
        <family val="2"/>
      </rPr>
      <t>Ex3</t>
    </r>
    <r>
      <rPr>
        <sz val="10"/>
        <color indexed="8"/>
        <rFont val="Segoe UI"/>
        <family val="2"/>
      </rPr>
      <t>: Refine organizational objectives and risk appetite periodically based on known risk exposure and residual risk</t>
    </r>
  </si>
  <si>
    <r>
      <rPr>
        <b/>
        <sz val="10"/>
        <color indexed="8"/>
        <rFont val="Segoe UI"/>
        <family val="2"/>
      </rPr>
      <t>Ex1</t>
    </r>
    <r>
      <rPr>
        <sz val="10"/>
        <color indexed="8"/>
        <rFont val="Segoe UI"/>
        <family val="2"/>
      </rPr>
      <t>: Aggregate and manage cybersecurity risks alongside other enterprise risks (e.g., compliance, financial, operational, regulatory, reputational, safety)</t>
    </r>
    <r>
      <rPr>
        <sz val="10"/>
        <color theme="1"/>
        <rFont val="Segoe UI"/>
        <family val="2"/>
      </rPr>
      <t xml:space="preserve">
</t>
    </r>
    <r>
      <rPr>
        <b/>
        <sz val="10"/>
        <color indexed="8"/>
        <rFont val="Segoe UI"/>
        <family val="2"/>
      </rPr>
      <t>Ex2</t>
    </r>
    <r>
      <rPr>
        <sz val="10"/>
        <color indexed="8"/>
        <rFont val="Segoe UI"/>
        <family val="2"/>
      </rPr>
      <t>: Include cybersecurity risk managers in enterprise risk management planning</t>
    </r>
    <r>
      <rPr>
        <sz val="10"/>
        <color theme="1"/>
        <rFont val="Segoe UI"/>
        <family val="2"/>
      </rPr>
      <t xml:space="preserve">
</t>
    </r>
    <r>
      <rPr>
        <b/>
        <sz val="10"/>
        <color indexed="8"/>
        <rFont val="Segoe UI"/>
        <family val="2"/>
      </rPr>
      <t>Ex3</t>
    </r>
    <r>
      <rPr>
        <sz val="10"/>
        <color indexed="8"/>
        <rFont val="Segoe UI"/>
        <family val="2"/>
      </rPr>
      <t>: Establish criteria for escalating cybersecurity risks within enterprise risk management</t>
    </r>
  </si>
  <si>
    <r>
      <rPr>
        <b/>
        <sz val="10"/>
        <color indexed="8"/>
        <rFont val="Segoe UI"/>
        <family val="2"/>
      </rPr>
      <t>Ex1</t>
    </r>
    <r>
      <rPr>
        <sz val="10"/>
        <color indexed="8"/>
        <rFont val="Segoe UI"/>
        <family val="2"/>
      </rPr>
      <t>: Specify criteria for accepting and avoiding cybersecurity risk for various classifications of data</t>
    </r>
    <r>
      <rPr>
        <sz val="10"/>
        <color theme="1"/>
        <rFont val="Segoe UI"/>
        <family val="2"/>
      </rPr>
      <t xml:space="preserve">
</t>
    </r>
    <r>
      <rPr>
        <b/>
        <sz val="10"/>
        <color indexed="8"/>
        <rFont val="Segoe UI"/>
        <family val="2"/>
      </rPr>
      <t>Ex2</t>
    </r>
    <r>
      <rPr>
        <sz val="10"/>
        <color indexed="8"/>
        <rFont val="Segoe UI"/>
        <family val="2"/>
      </rPr>
      <t>: Determine whether to purchase cybersecurity insurance</t>
    </r>
    <r>
      <rPr>
        <sz val="10"/>
        <color theme="1"/>
        <rFont val="Segoe UI"/>
        <family val="2"/>
      </rPr>
      <t xml:space="preserve">
</t>
    </r>
    <r>
      <rPr>
        <b/>
        <sz val="10"/>
        <color indexed="8"/>
        <rFont val="Segoe UI"/>
        <family val="2"/>
      </rPr>
      <t>Ex3</t>
    </r>
    <r>
      <rPr>
        <sz val="10"/>
        <color indexed="8"/>
        <rFont val="Segoe UI"/>
        <family val="2"/>
      </rPr>
      <t>: Document conditions under which shared responsibility models are acceptable (e.g., outsourcing certain cybersecurity functions, having a third party perform financial transactions on behalf of the organization, using public cloud-based services)</t>
    </r>
  </si>
  <si>
    <r>
      <rPr>
        <b/>
        <sz val="10"/>
        <color indexed="8"/>
        <rFont val="Segoe UI"/>
        <family val="2"/>
      </rPr>
      <t>Ex1</t>
    </r>
    <r>
      <rPr>
        <sz val="10"/>
        <color indexed="8"/>
        <rFont val="Segoe UI"/>
        <family val="2"/>
      </rPr>
      <t>: Determine how to update senior executives, directors, and management on the organization's cybersecurity posture at agreed-upon intervals</t>
    </r>
    <r>
      <rPr>
        <sz val="10"/>
        <color theme="1"/>
        <rFont val="Segoe UI"/>
        <family val="2"/>
      </rPr>
      <t xml:space="preserve">
</t>
    </r>
    <r>
      <rPr>
        <b/>
        <sz val="10"/>
        <color indexed="8"/>
        <rFont val="Segoe UI"/>
        <family val="2"/>
      </rPr>
      <t>Ex2</t>
    </r>
    <r>
      <rPr>
        <sz val="10"/>
        <color indexed="8"/>
        <rFont val="Segoe UI"/>
        <family val="2"/>
      </rPr>
      <t>: Identify how all departments across the organization - such as management, operations, internal auditors, legal, acquisition, physical security, and HR - will communicate with each other about cybersecurity risks</t>
    </r>
  </si>
  <si>
    <r>
      <rPr>
        <b/>
        <sz val="10"/>
        <color indexed="8"/>
        <rFont val="Segoe UI"/>
        <family val="2"/>
      </rPr>
      <t>Ex1</t>
    </r>
    <r>
      <rPr>
        <sz val="10"/>
        <color indexed="8"/>
        <rFont val="Segoe UI"/>
        <family val="2"/>
      </rPr>
      <t>: Establish criteria for using a quantitative approach to cybersecurity risk analysis, and specify probability and exposure formulas</t>
    </r>
    <r>
      <rPr>
        <sz val="10"/>
        <color theme="1"/>
        <rFont val="Segoe UI"/>
        <family val="2"/>
      </rPr>
      <t xml:space="preserve">
</t>
    </r>
    <r>
      <rPr>
        <b/>
        <sz val="10"/>
        <color indexed="8"/>
        <rFont val="Segoe UI"/>
        <family val="2"/>
      </rPr>
      <t>Ex2</t>
    </r>
    <r>
      <rPr>
        <sz val="10"/>
        <color indexed="8"/>
        <rFont val="Segoe UI"/>
        <family val="2"/>
      </rPr>
      <t>: Create and use templates (e.g., a risk register) to document cybersecurity risk information (e.g., risk description, exposure, treatment, and ownership)</t>
    </r>
    <r>
      <rPr>
        <sz val="10"/>
        <color theme="1"/>
        <rFont val="Segoe UI"/>
        <family val="2"/>
      </rPr>
      <t xml:space="preserve">
</t>
    </r>
    <r>
      <rPr>
        <b/>
        <sz val="10"/>
        <color indexed="8"/>
        <rFont val="Segoe UI"/>
        <family val="2"/>
      </rPr>
      <t>Ex3</t>
    </r>
    <r>
      <rPr>
        <sz val="10"/>
        <color indexed="8"/>
        <rFont val="Segoe UI"/>
        <family val="2"/>
      </rPr>
      <t>: Establish criteria for risk prioritization at the appropriate levels within the enterprise</t>
    </r>
    <r>
      <rPr>
        <sz val="10"/>
        <color theme="1"/>
        <rFont val="Segoe UI"/>
        <family val="2"/>
      </rPr>
      <t xml:space="preserve">
</t>
    </r>
    <r>
      <rPr>
        <b/>
        <sz val="10"/>
        <color indexed="8"/>
        <rFont val="Segoe UI"/>
        <family val="2"/>
      </rPr>
      <t>Ex4</t>
    </r>
    <r>
      <rPr>
        <sz val="10"/>
        <color indexed="8"/>
        <rFont val="Segoe UI"/>
        <family val="2"/>
      </rPr>
      <t>: Use a consistent list of risk categories to support integrating, aggregating, and comparing cybersecurity risks</t>
    </r>
  </si>
  <si>
    <r>
      <rPr>
        <b/>
        <sz val="10"/>
        <color indexed="8"/>
        <rFont val="Segoe UI"/>
        <family val="2"/>
      </rPr>
      <t>Ex1</t>
    </r>
    <r>
      <rPr>
        <sz val="10"/>
        <color indexed="8"/>
        <rFont val="Segoe UI"/>
        <family val="2"/>
      </rPr>
      <t>: Define and communicate guidance and methods for identifying opportunities and including them in risk discussions (e.g., strengths, weaknesses, opportunities, and threats [SWOT] analysis)</t>
    </r>
    <r>
      <rPr>
        <sz val="10"/>
        <color theme="1"/>
        <rFont val="Segoe UI"/>
        <family val="2"/>
      </rPr>
      <t xml:space="preserve">
</t>
    </r>
    <r>
      <rPr>
        <b/>
        <sz val="10"/>
        <color indexed="8"/>
        <rFont val="Segoe UI"/>
        <family val="2"/>
      </rPr>
      <t>Ex2</t>
    </r>
    <r>
      <rPr>
        <sz val="10"/>
        <color indexed="8"/>
        <rFont val="Segoe UI"/>
        <family val="2"/>
      </rPr>
      <t>: Identify stretch goals and document them</t>
    </r>
    <r>
      <rPr>
        <sz val="10"/>
        <color theme="1"/>
        <rFont val="Segoe UI"/>
        <family val="2"/>
      </rPr>
      <t xml:space="preserve">
</t>
    </r>
    <r>
      <rPr>
        <b/>
        <sz val="10"/>
        <color indexed="8"/>
        <rFont val="Segoe UI"/>
        <family val="2"/>
      </rPr>
      <t>Ex3</t>
    </r>
    <r>
      <rPr>
        <sz val="10"/>
        <color indexed="8"/>
        <rFont val="Segoe UI"/>
        <family val="2"/>
      </rPr>
      <t>: Calculate, document, and prioritize positive risks alongside negative risks</t>
    </r>
  </si>
  <si>
    <r>
      <rPr>
        <b/>
        <sz val="10"/>
        <color indexed="8"/>
        <rFont val="Segoe UI"/>
        <family val="2"/>
      </rPr>
      <t>Ex1</t>
    </r>
    <r>
      <rPr>
        <sz val="10"/>
        <color indexed="8"/>
        <rFont val="Segoe UI"/>
        <family val="2"/>
      </rPr>
      <t>: Leaders (e.g., directors) agree on their roles and responsibilities in developing, implementing, and assessing the organization's cybersecurity strategy</t>
    </r>
    <r>
      <rPr>
        <sz val="10"/>
        <color theme="1"/>
        <rFont val="Segoe UI"/>
        <family val="2"/>
      </rPr>
      <t xml:space="preserve">
</t>
    </r>
    <r>
      <rPr>
        <b/>
        <sz val="10"/>
        <color indexed="8"/>
        <rFont val="Segoe UI"/>
        <family val="2"/>
      </rPr>
      <t>Ex2</t>
    </r>
    <r>
      <rPr>
        <sz val="10"/>
        <color indexed="8"/>
        <rFont val="Segoe UI"/>
        <family val="2"/>
      </rPr>
      <t>: Share leaders' expectations regarding a secure and ethical culture, especially when current events present the opportunity to highlight positive or negative examples of cybersecurity risk management</t>
    </r>
    <r>
      <rPr>
        <sz val="10"/>
        <color theme="1"/>
        <rFont val="Segoe UI"/>
        <family val="2"/>
      </rPr>
      <t xml:space="preserve">
</t>
    </r>
    <r>
      <rPr>
        <b/>
        <sz val="10"/>
        <color indexed="8"/>
        <rFont val="Segoe UI"/>
        <family val="2"/>
      </rPr>
      <t>Ex3</t>
    </r>
    <r>
      <rPr>
        <sz val="10"/>
        <color indexed="8"/>
        <rFont val="Segoe UI"/>
        <family val="2"/>
      </rPr>
      <t>: Leaders direct the CISO to maintain a comprehensive cybersecurity risk strategy and review and update it at least annually and after major events</t>
    </r>
    <r>
      <rPr>
        <sz val="10"/>
        <color theme="1"/>
        <rFont val="Segoe UI"/>
        <family val="2"/>
      </rPr>
      <t xml:space="preserve">
</t>
    </r>
    <r>
      <rPr>
        <b/>
        <sz val="10"/>
        <color indexed="8"/>
        <rFont val="Segoe UI"/>
        <family val="2"/>
      </rPr>
      <t>Ex4</t>
    </r>
    <r>
      <rPr>
        <sz val="10"/>
        <color indexed="8"/>
        <rFont val="Segoe UI"/>
        <family val="2"/>
      </rPr>
      <t>: Conduct reviews to ensure adequate authority and coordination among those responsible for managing cybersecurity risk</t>
    </r>
  </si>
  <si>
    <r>
      <rPr>
        <b/>
        <sz val="10"/>
        <color indexed="8"/>
        <rFont val="Segoe UI"/>
        <family val="2"/>
      </rPr>
      <t>Ex1</t>
    </r>
    <r>
      <rPr>
        <sz val="10"/>
        <color indexed="8"/>
        <rFont val="Segoe UI"/>
        <family val="2"/>
      </rPr>
      <t>: Document risk management roles and responsibilities in policy</t>
    </r>
    <r>
      <rPr>
        <sz val="10"/>
        <color theme="1"/>
        <rFont val="Segoe UI"/>
        <family val="2"/>
      </rPr>
      <t xml:space="preserve">
</t>
    </r>
    <r>
      <rPr>
        <b/>
        <sz val="10"/>
        <color indexed="8"/>
        <rFont val="Segoe UI"/>
        <family val="2"/>
      </rPr>
      <t>Ex2</t>
    </r>
    <r>
      <rPr>
        <sz val="10"/>
        <color indexed="8"/>
        <rFont val="Segoe UI"/>
        <family val="2"/>
      </rPr>
      <t>: Document who is responsible and accountable for cybersecurity risk management activities and how those teams and individuals are to be consulted and informed</t>
    </r>
    <r>
      <rPr>
        <sz val="10"/>
        <color theme="1"/>
        <rFont val="Segoe UI"/>
        <family val="2"/>
      </rPr>
      <t xml:space="preserve">
</t>
    </r>
    <r>
      <rPr>
        <b/>
        <sz val="10"/>
        <color indexed="8"/>
        <rFont val="Segoe UI"/>
        <family val="2"/>
      </rPr>
      <t>Ex3</t>
    </r>
    <r>
      <rPr>
        <sz val="10"/>
        <color indexed="8"/>
        <rFont val="Segoe UI"/>
        <family val="2"/>
      </rPr>
      <t>: Include cybersecurity responsibilities and performance requirements in personnel descriptions</t>
    </r>
    <r>
      <rPr>
        <sz val="10"/>
        <color theme="1"/>
        <rFont val="Segoe UI"/>
        <family val="2"/>
      </rPr>
      <t xml:space="preserve">
</t>
    </r>
    <r>
      <rPr>
        <b/>
        <sz val="10"/>
        <color indexed="8"/>
        <rFont val="Segoe UI"/>
        <family val="2"/>
      </rPr>
      <t>Ex4</t>
    </r>
    <r>
      <rPr>
        <sz val="10"/>
        <color indexed="8"/>
        <rFont val="Segoe UI"/>
        <family val="2"/>
      </rPr>
      <t>: Document performance goals for personnel with cybersecurity risk management responsibilities, and periodically measure performance to identify areas for improvement</t>
    </r>
    <r>
      <rPr>
        <sz val="10"/>
        <color theme="1"/>
        <rFont val="Segoe UI"/>
        <family val="2"/>
      </rPr>
      <t xml:space="preserve">
</t>
    </r>
    <r>
      <rPr>
        <b/>
        <sz val="10"/>
        <color indexed="8"/>
        <rFont val="Segoe UI"/>
        <family val="2"/>
      </rPr>
      <t>Ex5</t>
    </r>
    <r>
      <rPr>
        <sz val="10"/>
        <color indexed="8"/>
        <rFont val="Segoe UI"/>
        <family val="2"/>
      </rPr>
      <t>: Clearly articulate cybersecurity responsibilities within operations, risk functions, and internal audit functions</t>
    </r>
  </si>
  <si>
    <r>
      <rPr>
        <b/>
        <sz val="10"/>
        <color indexed="8"/>
        <rFont val="Segoe UI"/>
        <family val="2"/>
      </rPr>
      <t>Ex1</t>
    </r>
    <r>
      <rPr>
        <sz val="10"/>
        <color indexed="8"/>
        <rFont val="Segoe UI"/>
        <family val="2"/>
      </rPr>
      <t>: Conduct periodic management reviews to ensure that those given cybersecurity risk management responsibilities have the necessary authority</t>
    </r>
    <r>
      <rPr>
        <sz val="10"/>
        <color theme="1"/>
        <rFont val="Segoe UI"/>
        <family val="2"/>
      </rPr>
      <t xml:space="preserve">
</t>
    </r>
    <r>
      <rPr>
        <b/>
        <sz val="10"/>
        <color indexed="8"/>
        <rFont val="Segoe UI"/>
        <family val="2"/>
      </rPr>
      <t>Ex2</t>
    </r>
    <r>
      <rPr>
        <sz val="10"/>
        <color indexed="8"/>
        <rFont val="Segoe UI"/>
        <family val="2"/>
      </rPr>
      <t>: Identify resource allocation and investment in line with risk tolerance and response</t>
    </r>
    <r>
      <rPr>
        <sz val="10"/>
        <color theme="1"/>
        <rFont val="Segoe UI"/>
        <family val="2"/>
      </rPr>
      <t xml:space="preserve">
</t>
    </r>
    <r>
      <rPr>
        <b/>
        <sz val="10"/>
        <color indexed="8"/>
        <rFont val="Segoe UI"/>
        <family val="2"/>
      </rPr>
      <t>Ex3</t>
    </r>
    <r>
      <rPr>
        <sz val="10"/>
        <color indexed="8"/>
        <rFont val="Segoe UI"/>
        <family val="2"/>
      </rPr>
      <t>: Provide adequate and sufficient people, process, and technical resources to support the cybersecurity strategy</t>
    </r>
  </si>
  <si>
    <r>
      <rPr>
        <b/>
        <sz val="10"/>
        <color indexed="8"/>
        <rFont val="Segoe UI"/>
        <family val="2"/>
      </rPr>
      <t>Ex1</t>
    </r>
    <r>
      <rPr>
        <sz val="10"/>
        <color indexed="8"/>
        <rFont val="Segoe UI"/>
        <family val="2"/>
      </rPr>
      <t>: Integrate cybersecurity risk management considerations into human resources processes (e.g., personnel screening, onboarding, change notification, offboarding)</t>
    </r>
    <r>
      <rPr>
        <sz val="10"/>
        <color theme="1"/>
        <rFont val="Segoe UI"/>
        <family val="2"/>
      </rPr>
      <t xml:space="preserve">
</t>
    </r>
    <r>
      <rPr>
        <b/>
        <sz val="10"/>
        <color indexed="8"/>
        <rFont val="Segoe UI"/>
        <family val="2"/>
      </rPr>
      <t>Ex2</t>
    </r>
    <r>
      <rPr>
        <sz val="10"/>
        <color indexed="8"/>
        <rFont val="Segoe UI"/>
        <family val="2"/>
      </rPr>
      <t>: Consider cybersecurity knowledge to be a positive factor in hiring, training, and retention decisions</t>
    </r>
    <r>
      <rPr>
        <sz val="10"/>
        <color theme="1"/>
        <rFont val="Segoe UI"/>
        <family val="2"/>
      </rPr>
      <t xml:space="preserve">
</t>
    </r>
    <r>
      <rPr>
        <b/>
        <sz val="10"/>
        <color indexed="8"/>
        <rFont val="Segoe UI"/>
        <family val="2"/>
      </rPr>
      <t>Ex3</t>
    </r>
    <r>
      <rPr>
        <sz val="10"/>
        <color indexed="8"/>
        <rFont val="Segoe UI"/>
        <family val="2"/>
      </rPr>
      <t>: Conduct background checks prior to onboarding new personnel for sensitive roles, and periodically repeat background checks for personnel with such roles</t>
    </r>
    <r>
      <rPr>
        <sz val="10"/>
        <color theme="1"/>
        <rFont val="Segoe UI"/>
        <family val="2"/>
      </rPr>
      <t xml:space="preserve">
</t>
    </r>
    <r>
      <rPr>
        <b/>
        <sz val="10"/>
        <color indexed="8"/>
        <rFont val="Segoe UI"/>
        <family val="2"/>
      </rPr>
      <t>Ex4</t>
    </r>
    <r>
      <rPr>
        <sz val="10"/>
        <color indexed="8"/>
        <rFont val="Segoe UI"/>
        <family val="2"/>
      </rPr>
      <t>: Define and enforce obligations for personnel to be aware of, adhere to, and uphold security policies as they relate to their roles</t>
    </r>
  </si>
  <si>
    <r>
      <rPr>
        <b/>
        <sz val="10"/>
        <color indexed="8"/>
        <rFont val="Segoe UI"/>
        <family val="2"/>
      </rPr>
      <t>Ex1</t>
    </r>
    <r>
      <rPr>
        <sz val="10"/>
        <color indexed="8"/>
        <rFont val="Segoe UI"/>
        <family val="2"/>
      </rPr>
      <t>: Create, disseminate, and maintain an understandable, usable risk management policy with statements of management intent, expectations, and direction</t>
    </r>
    <r>
      <rPr>
        <sz val="10"/>
        <color theme="1"/>
        <rFont val="Segoe UI"/>
        <family val="2"/>
      </rPr>
      <t xml:space="preserve">
</t>
    </r>
    <r>
      <rPr>
        <b/>
        <sz val="10"/>
        <color indexed="8"/>
        <rFont val="Segoe UI"/>
        <family val="2"/>
      </rPr>
      <t>Ex2</t>
    </r>
    <r>
      <rPr>
        <sz val="10"/>
        <color indexed="8"/>
        <rFont val="Segoe UI"/>
        <family val="2"/>
      </rPr>
      <t>: Periodically review policy and supporting processes and procedures to ensure that they align with risk management strategy objectives and priorities, as well as the high-level direction of the cybersecurity policy</t>
    </r>
    <r>
      <rPr>
        <sz val="10"/>
        <color theme="1"/>
        <rFont val="Segoe UI"/>
        <family val="2"/>
      </rPr>
      <t xml:space="preserve">
</t>
    </r>
    <r>
      <rPr>
        <b/>
        <sz val="10"/>
        <color indexed="8"/>
        <rFont val="Segoe UI"/>
        <family val="2"/>
      </rPr>
      <t>Ex3</t>
    </r>
    <r>
      <rPr>
        <sz val="10"/>
        <color indexed="8"/>
        <rFont val="Segoe UI"/>
        <family val="2"/>
      </rPr>
      <t>: Require approval from senior management on policy</t>
    </r>
    <r>
      <rPr>
        <sz val="10"/>
        <color theme="1"/>
        <rFont val="Segoe UI"/>
        <family val="2"/>
      </rPr>
      <t xml:space="preserve">
</t>
    </r>
    <r>
      <rPr>
        <b/>
        <sz val="10"/>
        <color indexed="8"/>
        <rFont val="Segoe UI"/>
        <family val="2"/>
      </rPr>
      <t>Ex4</t>
    </r>
    <r>
      <rPr>
        <sz val="10"/>
        <color indexed="8"/>
        <rFont val="Segoe UI"/>
        <family val="2"/>
      </rPr>
      <t>: Communicate cybersecurity risk management policy and supporting processes and procedures across the organization</t>
    </r>
    <r>
      <rPr>
        <sz val="10"/>
        <color theme="1"/>
        <rFont val="Segoe UI"/>
        <family val="2"/>
      </rPr>
      <t xml:space="preserve">
</t>
    </r>
    <r>
      <rPr>
        <b/>
        <sz val="10"/>
        <color indexed="8"/>
        <rFont val="Segoe UI"/>
        <family val="2"/>
      </rPr>
      <t>Ex5</t>
    </r>
    <r>
      <rPr>
        <sz val="10"/>
        <color indexed="8"/>
        <rFont val="Segoe UI"/>
        <family val="2"/>
      </rPr>
      <t>: Require personnel to acknowledge receipt of policy when first hired, annually, and whenever policy is updated</t>
    </r>
  </si>
  <si>
    <r>
      <rPr>
        <b/>
        <sz val="10"/>
        <color indexed="8"/>
        <rFont val="Segoe UI"/>
        <family val="2"/>
      </rPr>
      <t>Ex1</t>
    </r>
    <r>
      <rPr>
        <sz val="10"/>
        <color indexed="8"/>
        <rFont val="Segoe UI"/>
        <family val="2"/>
      </rPr>
      <t>: Update policy based on periodic reviews of cybersecurity risk management results to ensure that policy and supporting processes and procedures adequately maintain risk at an acceptable level</t>
    </r>
    <r>
      <rPr>
        <sz val="10"/>
        <color theme="1"/>
        <rFont val="Segoe UI"/>
        <family val="2"/>
      </rPr>
      <t xml:space="preserve">
</t>
    </r>
    <r>
      <rPr>
        <b/>
        <sz val="10"/>
        <color indexed="8"/>
        <rFont val="Segoe UI"/>
        <family val="2"/>
      </rPr>
      <t>Ex2</t>
    </r>
    <r>
      <rPr>
        <sz val="10"/>
        <color indexed="8"/>
        <rFont val="Segoe UI"/>
        <family val="2"/>
      </rPr>
      <t>: Provide a timeline for reviewing changes to the organization's risk environment (e.g., changes in risk or in the organization's mission objectives), and communicate recommended policy updates</t>
    </r>
    <r>
      <rPr>
        <sz val="10"/>
        <color theme="1"/>
        <rFont val="Segoe UI"/>
        <family val="2"/>
      </rPr>
      <t xml:space="preserve">
</t>
    </r>
    <r>
      <rPr>
        <b/>
        <sz val="10"/>
        <color indexed="8"/>
        <rFont val="Segoe UI"/>
        <family val="2"/>
      </rPr>
      <t>Ex3</t>
    </r>
    <r>
      <rPr>
        <sz val="10"/>
        <color indexed="8"/>
        <rFont val="Segoe UI"/>
        <family val="2"/>
      </rPr>
      <t>: Update policy to reflect changes in legal and regulatory requirements</t>
    </r>
    <r>
      <rPr>
        <sz val="10"/>
        <color theme="1"/>
        <rFont val="Segoe UI"/>
        <family val="2"/>
      </rPr>
      <t xml:space="preserve">
</t>
    </r>
    <r>
      <rPr>
        <b/>
        <sz val="10"/>
        <color indexed="8"/>
        <rFont val="Segoe UI"/>
        <family val="2"/>
      </rPr>
      <t>Ex4</t>
    </r>
    <r>
      <rPr>
        <sz val="10"/>
        <color indexed="8"/>
        <rFont val="Segoe UI"/>
        <family val="2"/>
      </rPr>
      <t>: Update policy to reflect changes in technology (e.g., adoption of artificial intelligence) and changes to the business (e.g., acquisition of a new business, new contract requirements)</t>
    </r>
  </si>
  <si>
    <r>
      <rPr>
        <b/>
        <sz val="10"/>
        <color indexed="8"/>
        <rFont val="Segoe UI"/>
        <family val="2"/>
      </rPr>
      <t>Ex1</t>
    </r>
    <r>
      <rPr>
        <sz val="10"/>
        <color indexed="8"/>
        <rFont val="Segoe UI"/>
        <family val="2"/>
      </rPr>
      <t>: Measure how well the risk management strategy and risk results have helped leaders make decisions and achieve organizational objectives</t>
    </r>
    <r>
      <rPr>
        <sz val="10"/>
        <color theme="1"/>
        <rFont val="Segoe UI"/>
        <family val="2"/>
      </rPr>
      <t xml:space="preserve">
</t>
    </r>
    <r>
      <rPr>
        <b/>
        <sz val="10"/>
        <color indexed="8"/>
        <rFont val="Segoe UI"/>
        <family val="2"/>
      </rPr>
      <t>Ex2</t>
    </r>
    <r>
      <rPr>
        <sz val="10"/>
        <color indexed="8"/>
        <rFont val="Segoe UI"/>
        <family val="2"/>
      </rPr>
      <t>: Examine whether cybersecurity risk strategies that impede operations or innovation should be adjusted</t>
    </r>
  </si>
  <si>
    <r>
      <rPr>
        <b/>
        <sz val="10"/>
        <color indexed="8"/>
        <rFont val="Segoe UI"/>
        <family val="2"/>
      </rPr>
      <t>Ex1</t>
    </r>
    <r>
      <rPr>
        <sz val="10"/>
        <color indexed="8"/>
        <rFont val="Segoe UI"/>
        <family val="2"/>
      </rPr>
      <t>: Review audit findings to confirm whether the existing cybersecurity strategy has ensured compliance with internal and external requirements</t>
    </r>
    <r>
      <rPr>
        <sz val="10"/>
        <color theme="1"/>
        <rFont val="Segoe UI"/>
        <family val="2"/>
      </rPr>
      <t xml:space="preserve">
</t>
    </r>
    <r>
      <rPr>
        <b/>
        <sz val="10"/>
        <color indexed="8"/>
        <rFont val="Segoe UI"/>
        <family val="2"/>
      </rPr>
      <t>Ex2</t>
    </r>
    <r>
      <rPr>
        <sz val="10"/>
        <color indexed="8"/>
        <rFont val="Segoe UI"/>
        <family val="2"/>
      </rPr>
      <t>: Review the performance oversight of those in cybersecurity-related roles to determine whether policy changes are necessary</t>
    </r>
    <r>
      <rPr>
        <sz val="10"/>
        <color theme="1"/>
        <rFont val="Segoe UI"/>
        <family val="2"/>
      </rPr>
      <t xml:space="preserve">
</t>
    </r>
    <r>
      <rPr>
        <b/>
        <sz val="10"/>
        <color indexed="8"/>
        <rFont val="Segoe UI"/>
        <family val="2"/>
      </rPr>
      <t>Ex3</t>
    </r>
    <r>
      <rPr>
        <sz val="10"/>
        <color indexed="8"/>
        <rFont val="Segoe UI"/>
        <family val="2"/>
      </rPr>
      <t>: Review strategy in light of cybersecurity incidents</t>
    </r>
  </si>
  <si>
    <r>
      <rPr>
        <b/>
        <sz val="10"/>
        <color indexed="8"/>
        <rFont val="Segoe UI"/>
        <family val="2"/>
      </rPr>
      <t>Ex1</t>
    </r>
    <r>
      <rPr>
        <sz val="10"/>
        <color indexed="8"/>
        <rFont val="Segoe UI"/>
        <family val="2"/>
      </rPr>
      <t>: Review key performance indicators (KPIs) to ensure that organization-wide policies and procedures achieve objectives</t>
    </r>
    <r>
      <rPr>
        <sz val="10"/>
        <color theme="1"/>
        <rFont val="Segoe UI"/>
        <family val="2"/>
      </rPr>
      <t xml:space="preserve">
</t>
    </r>
    <r>
      <rPr>
        <b/>
        <sz val="10"/>
        <color indexed="8"/>
        <rFont val="Segoe UI"/>
        <family val="2"/>
      </rPr>
      <t>Ex2</t>
    </r>
    <r>
      <rPr>
        <sz val="10"/>
        <color indexed="8"/>
        <rFont val="Segoe UI"/>
        <family val="2"/>
      </rPr>
      <t>: Review key risk indicators (KRIs) to identify risks the organization faces, including likelihood and potential impact</t>
    </r>
    <r>
      <rPr>
        <sz val="10"/>
        <color theme="1"/>
        <rFont val="Segoe UI"/>
        <family val="2"/>
      </rPr>
      <t xml:space="preserve">
</t>
    </r>
    <r>
      <rPr>
        <b/>
        <sz val="10"/>
        <color indexed="8"/>
        <rFont val="Segoe UI"/>
        <family val="2"/>
      </rPr>
      <t>Ex3</t>
    </r>
    <r>
      <rPr>
        <sz val="10"/>
        <color indexed="8"/>
        <rFont val="Segoe UI"/>
        <family val="2"/>
      </rPr>
      <t>: Collect and communicate metrics on cybersecurity risk management with senior leadership</t>
    </r>
  </si>
  <si>
    <r>
      <rPr>
        <b/>
        <sz val="10"/>
        <color indexed="8"/>
        <rFont val="Segoe UI"/>
        <family val="2"/>
      </rPr>
      <t>Ex1</t>
    </r>
    <r>
      <rPr>
        <sz val="10"/>
        <color indexed="8"/>
        <rFont val="Segoe UI"/>
        <family val="2"/>
      </rPr>
      <t>: Establish a strategy that expresses the objectives of the cybersecurity supply chain risk management program</t>
    </r>
    <r>
      <rPr>
        <sz val="10"/>
        <color theme="1"/>
        <rFont val="Segoe UI"/>
        <family val="2"/>
      </rPr>
      <t xml:space="preserve">
</t>
    </r>
    <r>
      <rPr>
        <b/>
        <sz val="10"/>
        <color indexed="8"/>
        <rFont val="Segoe UI"/>
        <family val="2"/>
      </rPr>
      <t>Ex2</t>
    </r>
    <r>
      <rPr>
        <sz val="10"/>
        <color indexed="8"/>
        <rFont val="Segoe UI"/>
        <family val="2"/>
      </rPr>
      <t>: Develop the cybersecurity supply chain risk management program, including a plan (with milestones), policies, and procedures that guide implementation and improvement of the program, and share the policies and procedures with the organizational stakeholders</t>
    </r>
    <r>
      <rPr>
        <sz val="10"/>
        <color theme="1"/>
        <rFont val="Segoe UI"/>
        <family val="2"/>
      </rPr>
      <t xml:space="preserve">
</t>
    </r>
    <r>
      <rPr>
        <b/>
        <sz val="10"/>
        <color indexed="8"/>
        <rFont val="Segoe UI"/>
        <family val="2"/>
      </rPr>
      <t>Ex3</t>
    </r>
    <r>
      <rPr>
        <sz val="10"/>
        <color indexed="8"/>
        <rFont val="Segoe UI"/>
        <family val="2"/>
      </rPr>
      <t>: Develop and implement program processes based on the strategy, objectives, policies, and procedures that are agreed upon and performed by the organizational stakeholders</t>
    </r>
    <r>
      <rPr>
        <sz val="10"/>
        <color theme="1"/>
        <rFont val="Segoe UI"/>
        <family val="2"/>
      </rPr>
      <t xml:space="preserve">
</t>
    </r>
    <r>
      <rPr>
        <b/>
        <sz val="10"/>
        <color indexed="8"/>
        <rFont val="Segoe UI"/>
        <family val="2"/>
      </rPr>
      <t>Ex4</t>
    </r>
    <r>
      <rPr>
        <sz val="10"/>
        <color indexed="8"/>
        <rFont val="Segoe UI"/>
        <family val="2"/>
      </rPr>
      <t>: Establish a cross-organizational mechanism that ensures alignment between functions that contribute to cybersecurity supply chain risk management, such as cybersecurity, IT, operations, legal, human resources, and engineering</t>
    </r>
  </si>
  <si>
    <r>
      <rPr>
        <b/>
        <sz val="10"/>
        <color indexed="8"/>
        <rFont val="Segoe UI"/>
        <family val="2"/>
      </rPr>
      <t>Ex1</t>
    </r>
    <r>
      <rPr>
        <sz val="10"/>
        <color indexed="8"/>
        <rFont val="Segoe UI"/>
        <family val="2"/>
      </rPr>
      <t>: Identify one or more specific roles or positions that will be responsible and accountable for planning, resourcing, and executing cybersecurity supply chain risk management activities</t>
    </r>
    <r>
      <rPr>
        <sz val="10"/>
        <color theme="1"/>
        <rFont val="Segoe UI"/>
        <family val="2"/>
      </rPr>
      <t xml:space="preserve">
</t>
    </r>
    <r>
      <rPr>
        <b/>
        <sz val="10"/>
        <color indexed="8"/>
        <rFont val="Segoe UI"/>
        <family val="2"/>
      </rPr>
      <t>Ex2</t>
    </r>
    <r>
      <rPr>
        <sz val="10"/>
        <color indexed="8"/>
        <rFont val="Segoe UI"/>
        <family val="2"/>
      </rPr>
      <t>: Document cybersecurity supply chain risk management roles and responsibilities in policy</t>
    </r>
    <r>
      <rPr>
        <sz val="10"/>
        <color theme="1"/>
        <rFont val="Segoe UI"/>
        <family val="2"/>
      </rPr>
      <t xml:space="preserve">
</t>
    </r>
    <r>
      <rPr>
        <b/>
        <sz val="10"/>
        <color indexed="8"/>
        <rFont val="Segoe UI"/>
        <family val="2"/>
      </rPr>
      <t>Ex3</t>
    </r>
    <r>
      <rPr>
        <sz val="10"/>
        <color indexed="8"/>
        <rFont val="Segoe UI"/>
        <family val="2"/>
      </rPr>
      <t>: Create responsibility matrixes to document who will be responsible and accountable for cybersecurity supply chain risk management activities and how those teams and individuals will be consulted and informed</t>
    </r>
    <r>
      <rPr>
        <sz val="10"/>
        <color theme="1"/>
        <rFont val="Segoe UI"/>
        <family val="2"/>
      </rPr>
      <t xml:space="preserve">
</t>
    </r>
    <r>
      <rPr>
        <b/>
        <sz val="10"/>
        <color indexed="8"/>
        <rFont val="Segoe UI"/>
        <family val="2"/>
      </rPr>
      <t>Ex4</t>
    </r>
    <r>
      <rPr>
        <sz val="10"/>
        <color indexed="8"/>
        <rFont val="Segoe UI"/>
        <family val="2"/>
      </rPr>
      <t>: Include cybersecurity supply chain risk management responsibilities and performance requirements in personnel descriptions to ensure clarity and improve accountability</t>
    </r>
    <r>
      <rPr>
        <sz val="10"/>
        <color theme="1"/>
        <rFont val="Segoe UI"/>
        <family val="2"/>
      </rPr>
      <t xml:space="preserve">
</t>
    </r>
    <r>
      <rPr>
        <b/>
        <sz val="10"/>
        <color indexed="8"/>
        <rFont val="Segoe UI"/>
        <family val="2"/>
      </rPr>
      <t>Ex5</t>
    </r>
    <r>
      <rPr>
        <sz val="10"/>
        <color indexed="8"/>
        <rFont val="Segoe UI"/>
        <family val="2"/>
      </rPr>
      <t>: Document performance goals for personnel with cybersecurity risk management-specific responsibilities, and periodically measure them to demonstrate and improve performance</t>
    </r>
    <r>
      <rPr>
        <sz val="10"/>
        <color theme="1"/>
        <rFont val="Segoe UI"/>
        <family val="2"/>
      </rPr>
      <t xml:space="preserve">
</t>
    </r>
    <r>
      <rPr>
        <b/>
        <sz val="10"/>
        <color indexed="8"/>
        <rFont val="Segoe UI"/>
        <family val="2"/>
      </rPr>
      <t>Ex6</t>
    </r>
    <r>
      <rPr>
        <sz val="10"/>
        <color indexed="8"/>
        <rFont val="Segoe UI"/>
        <family val="2"/>
      </rPr>
      <t>: Develop roles and responsibilities for suppliers, customers, and business partners to address shared responsibilities for applicable cybersecurity risks, and integrate them into organizational policies and applicable third-party agreements</t>
    </r>
    <r>
      <rPr>
        <sz val="10"/>
        <color theme="1"/>
        <rFont val="Segoe UI"/>
        <family val="2"/>
      </rPr>
      <t xml:space="preserve">
</t>
    </r>
    <r>
      <rPr>
        <b/>
        <sz val="10"/>
        <color indexed="8"/>
        <rFont val="Segoe UI"/>
        <family val="2"/>
      </rPr>
      <t>Ex7</t>
    </r>
    <r>
      <rPr>
        <sz val="10"/>
        <color indexed="8"/>
        <rFont val="Segoe UI"/>
        <family val="2"/>
      </rPr>
      <t>: Internally communicate cybersecurity supply chain risk management roles and responsibilities for third parties</t>
    </r>
    <r>
      <rPr>
        <sz val="10"/>
        <color theme="1"/>
        <rFont val="Segoe UI"/>
        <family val="2"/>
      </rPr>
      <t xml:space="preserve">
</t>
    </r>
    <r>
      <rPr>
        <b/>
        <sz val="10"/>
        <color indexed="8"/>
        <rFont val="Segoe UI"/>
        <family val="2"/>
      </rPr>
      <t>Ex8</t>
    </r>
    <r>
      <rPr>
        <sz val="10"/>
        <color indexed="8"/>
        <rFont val="Segoe UI"/>
        <family val="2"/>
      </rPr>
      <t>: Establish rules and protocols for information sharing and reporting processes between the organization and its suppliers</t>
    </r>
  </si>
  <si>
    <r>
      <rPr>
        <b/>
        <sz val="10"/>
        <color indexed="8"/>
        <rFont val="Segoe UI"/>
        <family val="2"/>
      </rPr>
      <t>Ex1</t>
    </r>
    <r>
      <rPr>
        <sz val="10"/>
        <color indexed="8"/>
        <rFont val="Segoe UI"/>
        <family val="2"/>
      </rPr>
      <t>: Identify areas of alignment and overlap with cybersecurity and enterprise risk management</t>
    </r>
    <r>
      <rPr>
        <sz val="10"/>
        <color theme="1"/>
        <rFont val="Segoe UI"/>
        <family val="2"/>
      </rPr>
      <t xml:space="preserve">
</t>
    </r>
    <r>
      <rPr>
        <b/>
        <sz val="10"/>
        <color indexed="8"/>
        <rFont val="Segoe UI"/>
        <family val="2"/>
      </rPr>
      <t>Ex2</t>
    </r>
    <r>
      <rPr>
        <sz val="10"/>
        <color indexed="8"/>
        <rFont val="Segoe UI"/>
        <family val="2"/>
      </rPr>
      <t>: Establish integrated control sets for cybersecurity risk management and cybersecurity supply chain risk management</t>
    </r>
    <r>
      <rPr>
        <sz val="10"/>
        <color theme="1"/>
        <rFont val="Segoe UI"/>
        <family val="2"/>
      </rPr>
      <t xml:space="preserve">
</t>
    </r>
    <r>
      <rPr>
        <b/>
        <sz val="10"/>
        <color indexed="8"/>
        <rFont val="Segoe UI"/>
        <family val="2"/>
      </rPr>
      <t>Ex3</t>
    </r>
    <r>
      <rPr>
        <sz val="10"/>
        <color indexed="8"/>
        <rFont val="Segoe UI"/>
        <family val="2"/>
      </rPr>
      <t>: Integrate cybersecurity supply chain risk management into improvement processes</t>
    </r>
    <r>
      <rPr>
        <sz val="10"/>
        <color theme="1"/>
        <rFont val="Segoe UI"/>
        <family val="2"/>
      </rPr>
      <t xml:space="preserve">
</t>
    </r>
    <r>
      <rPr>
        <b/>
        <sz val="10"/>
        <color indexed="8"/>
        <rFont val="Segoe UI"/>
        <family val="2"/>
      </rPr>
      <t>Ex4</t>
    </r>
    <r>
      <rPr>
        <sz val="10"/>
        <color indexed="8"/>
        <rFont val="Segoe UI"/>
        <family val="2"/>
      </rPr>
      <t>: Escalate material cybersecurity risks in supply chains to senior management, and address them at the enterprise risk management level</t>
    </r>
  </si>
  <si>
    <r>
      <rPr>
        <b/>
        <sz val="10"/>
        <color indexed="8"/>
        <rFont val="Segoe UI"/>
        <family val="2"/>
      </rPr>
      <t>Ex1</t>
    </r>
    <r>
      <rPr>
        <sz val="10"/>
        <color indexed="8"/>
        <rFont val="Segoe UI"/>
        <family val="2"/>
      </rPr>
      <t>: Develop criteria for supplier criticality based on, for example, the sensitivity of data processed or possessed by suppliers, the degree of access to the organization's systems, and the importance of the products or services to the organization's mission</t>
    </r>
    <r>
      <rPr>
        <sz val="10"/>
        <color theme="1"/>
        <rFont val="Segoe UI"/>
        <family val="2"/>
      </rPr>
      <t xml:space="preserve">
</t>
    </r>
    <r>
      <rPr>
        <b/>
        <sz val="10"/>
        <color indexed="8"/>
        <rFont val="Segoe UI"/>
        <family val="2"/>
      </rPr>
      <t>Ex2</t>
    </r>
    <r>
      <rPr>
        <sz val="10"/>
        <color indexed="8"/>
        <rFont val="Segoe UI"/>
        <family val="2"/>
      </rPr>
      <t>: Keep a record of all suppliers, and prioritize suppliers based on the criticality criteria</t>
    </r>
  </si>
  <si>
    <r>
      <rPr>
        <b/>
        <sz val="10"/>
        <color indexed="8"/>
        <rFont val="Segoe UI"/>
        <family val="2"/>
      </rPr>
      <t>Ex1</t>
    </r>
    <r>
      <rPr>
        <sz val="10"/>
        <color indexed="8"/>
        <rFont val="Segoe UI"/>
        <family val="2"/>
      </rPr>
      <t>: Establish security requirements for suppliers, products, and services commensurate with their criticality level and potential impact if compromised</t>
    </r>
    <r>
      <rPr>
        <sz val="10"/>
        <color theme="1"/>
        <rFont val="Segoe UI"/>
        <family val="2"/>
      </rPr>
      <t xml:space="preserve">
</t>
    </r>
    <r>
      <rPr>
        <b/>
        <sz val="10"/>
        <color indexed="8"/>
        <rFont val="Segoe UI"/>
        <family val="2"/>
      </rPr>
      <t>Ex2</t>
    </r>
    <r>
      <rPr>
        <sz val="10"/>
        <color indexed="8"/>
        <rFont val="Segoe UI"/>
        <family val="2"/>
      </rPr>
      <t>: Include all cybersecurity and supply chain requirements that third parties must follow and how compliance with the requirements may be verified in default contractual language</t>
    </r>
    <r>
      <rPr>
        <sz val="10"/>
        <color theme="1"/>
        <rFont val="Segoe UI"/>
        <family val="2"/>
      </rPr>
      <t xml:space="preserve">
</t>
    </r>
    <r>
      <rPr>
        <b/>
        <sz val="10"/>
        <color indexed="8"/>
        <rFont val="Segoe UI"/>
        <family val="2"/>
      </rPr>
      <t>Ex3</t>
    </r>
    <r>
      <rPr>
        <sz val="10"/>
        <color indexed="8"/>
        <rFont val="Segoe UI"/>
        <family val="2"/>
      </rPr>
      <t>: Define the rules and protocols for information sharing between the organization and its suppliers and sub-tier suppliers in agreements</t>
    </r>
    <r>
      <rPr>
        <sz val="10"/>
        <color theme="1"/>
        <rFont val="Segoe UI"/>
        <family val="2"/>
      </rPr>
      <t xml:space="preserve">
</t>
    </r>
    <r>
      <rPr>
        <b/>
        <sz val="10"/>
        <color indexed="8"/>
        <rFont val="Segoe UI"/>
        <family val="2"/>
      </rPr>
      <t>Ex4</t>
    </r>
    <r>
      <rPr>
        <sz val="10"/>
        <color indexed="8"/>
        <rFont val="Segoe UI"/>
        <family val="2"/>
      </rPr>
      <t>: Manage risk by including security requirements in agreements based on their criticality and potential impact if compromised</t>
    </r>
    <r>
      <rPr>
        <sz val="10"/>
        <color theme="1"/>
        <rFont val="Segoe UI"/>
        <family val="2"/>
      </rPr>
      <t xml:space="preserve">
</t>
    </r>
    <r>
      <rPr>
        <b/>
        <sz val="10"/>
        <color indexed="8"/>
        <rFont val="Segoe UI"/>
        <family val="2"/>
      </rPr>
      <t>Ex5</t>
    </r>
    <r>
      <rPr>
        <sz val="10"/>
        <color indexed="8"/>
        <rFont val="Segoe UI"/>
        <family val="2"/>
      </rPr>
      <t>: Define security requirements in service-level agreements (SLAs) for monitoring suppliers for acceptable security performance throughout the supplier relationship lifecycle</t>
    </r>
    <r>
      <rPr>
        <sz val="10"/>
        <color theme="1"/>
        <rFont val="Segoe UI"/>
        <family val="2"/>
      </rPr>
      <t xml:space="preserve">
</t>
    </r>
    <r>
      <rPr>
        <b/>
        <sz val="10"/>
        <color indexed="8"/>
        <rFont val="Segoe UI"/>
        <family val="2"/>
      </rPr>
      <t>Ex6</t>
    </r>
    <r>
      <rPr>
        <sz val="10"/>
        <color indexed="8"/>
        <rFont val="Segoe UI"/>
        <family val="2"/>
      </rPr>
      <t>: Contractually require suppliers to disclose cybersecurity features, functions, and vulnerabilities of their products and services for the life of the product or the term of service</t>
    </r>
    <r>
      <rPr>
        <sz val="10"/>
        <color theme="1"/>
        <rFont val="Segoe UI"/>
        <family val="2"/>
      </rPr>
      <t xml:space="preserve">
</t>
    </r>
    <r>
      <rPr>
        <b/>
        <sz val="10"/>
        <color indexed="8"/>
        <rFont val="Segoe UI"/>
        <family val="2"/>
      </rPr>
      <t>Ex7</t>
    </r>
    <r>
      <rPr>
        <sz val="10"/>
        <color indexed="8"/>
        <rFont val="Segoe UI"/>
        <family val="2"/>
      </rPr>
      <t>: Contractually require suppliers to provide and maintain a current component inventory (e.g., software or hardware bill of materials) for critical products</t>
    </r>
    <r>
      <rPr>
        <sz val="10"/>
        <color theme="1"/>
        <rFont val="Segoe UI"/>
        <family val="2"/>
      </rPr>
      <t xml:space="preserve">
</t>
    </r>
    <r>
      <rPr>
        <b/>
        <sz val="10"/>
        <color indexed="8"/>
        <rFont val="Segoe UI"/>
        <family val="2"/>
      </rPr>
      <t>Ex8</t>
    </r>
    <r>
      <rPr>
        <sz val="10"/>
        <color indexed="8"/>
        <rFont val="Segoe UI"/>
        <family val="2"/>
      </rPr>
      <t>: Contractually require suppliers to vet their employees and guard against insider threats</t>
    </r>
    <r>
      <rPr>
        <sz val="10"/>
        <color theme="1"/>
        <rFont val="Segoe UI"/>
        <family val="2"/>
      </rPr>
      <t xml:space="preserve">
</t>
    </r>
    <r>
      <rPr>
        <b/>
        <sz val="10"/>
        <color indexed="8"/>
        <rFont val="Segoe UI"/>
        <family val="2"/>
      </rPr>
      <t>Ex9</t>
    </r>
    <r>
      <rPr>
        <sz val="10"/>
        <color indexed="8"/>
        <rFont val="Segoe UI"/>
        <family val="2"/>
      </rPr>
      <t>: Contractually require suppliers to provide evidence of performing acceptable security practices through, for example, self-attestation, conformance to known standards, certifications, or inspections</t>
    </r>
    <r>
      <rPr>
        <sz val="10"/>
        <color theme="1"/>
        <rFont val="Segoe UI"/>
        <family val="2"/>
      </rPr>
      <t xml:space="preserve">
</t>
    </r>
    <r>
      <rPr>
        <b/>
        <sz val="10"/>
        <color indexed="8"/>
        <rFont val="Segoe UI"/>
        <family val="2"/>
      </rPr>
      <t>Ex10</t>
    </r>
    <r>
      <rPr>
        <sz val="10"/>
        <color indexed="8"/>
        <rFont val="Segoe UI"/>
        <family val="2"/>
      </rPr>
      <t>: Specify in contracts and other agreements the rights and responsibilities of the organization, its suppliers, and their supply chains, with respect to potential cybersecurity risks</t>
    </r>
  </si>
  <si>
    <r>
      <rPr>
        <b/>
        <sz val="10"/>
        <color indexed="8"/>
        <rFont val="Segoe UI"/>
        <family val="2"/>
      </rPr>
      <t>Ex1</t>
    </r>
    <r>
      <rPr>
        <sz val="10"/>
        <color indexed="8"/>
        <rFont val="Segoe UI"/>
        <family val="2"/>
      </rPr>
      <t>: Perform thorough due diligence on prospective suppliers that is consistent with procurement planning and commensurate with the level of risk, criticality, and complexity of each supplier relationship</t>
    </r>
    <r>
      <rPr>
        <sz val="10"/>
        <color theme="1"/>
        <rFont val="Segoe UI"/>
        <family val="2"/>
      </rPr>
      <t xml:space="preserve">
</t>
    </r>
    <r>
      <rPr>
        <b/>
        <sz val="10"/>
        <color indexed="8"/>
        <rFont val="Segoe UI"/>
        <family val="2"/>
      </rPr>
      <t>Ex2</t>
    </r>
    <r>
      <rPr>
        <sz val="10"/>
        <color indexed="8"/>
        <rFont val="Segoe UI"/>
        <family val="2"/>
      </rPr>
      <t>: Assess the suitability of the technology and cybersecurity capabilities and the risk management practices of prospective suppliers</t>
    </r>
    <r>
      <rPr>
        <sz val="10"/>
        <color theme="1"/>
        <rFont val="Segoe UI"/>
        <family val="2"/>
      </rPr>
      <t xml:space="preserve">
</t>
    </r>
    <r>
      <rPr>
        <b/>
        <sz val="10"/>
        <color indexed="8"/>
        <rFont val="Segoe UI"/>
        <family val="2"/>
      </rPr>
      <t>Ex3</t>
    </r>
    <r>
      <rPr>
        <sz val="10"/>
        <color indexed="8"/>
        <rFont val="Segoe UI"/>
        <family val="2"/>
      </rPr>
      <t>: Conduct supplier risk assessments against business and applicable cybersecurity requirements</t>
    </r>
    <r>
      <rPr>
        <sz val="10"/>
        <color theme="1"/>
        <rFont val="Segoe UI"/>
        <family val="2"/>
      </rPr>
      <t xml:space="preserve">
</t>
    </r>
    <r>
      <rPr>
        <b/>
        <sz val="10"/>
        <color indexed="8"/>
        <rFont val="Segoe UI"/>
        <family val="2"/>
      </rPr>
      <t>Ex4</t>
    </r>
    <r>
      <rPr>
        <sz val="10"/>
        <color indexed="8"/>
        <rFont val="Segoe UI"/>
        <family val="2"/>
      </rPr>
      <t>: Assess the authenticity, integrity, and security of critical products prior to acquisition and use</t>
    </r>
  </si>
  <si>
    <r>
      <rPr>
        <b/>
        <sz val="10"/>
        <color indexed="8"/>
        <rFont val="Segoe UI"/>
        <family val="2"/>
      </rPr>
      <t>Ex1</t>
    </r>
    <r>
      <rPr>
        <sz val="10"/>
        <color indexed="8"/>
        <rFont val="Segoe UI"/>
        <family val="2"/>
      </rPr>
      <t>: Adjust assessment formats and frequencies based on the third party's reputation and the criticality of the products or services they provide</t>
    </r>
    <r>
      <rPr>
        <sz val="10"/>
        <color theme="1"/>
        <rFont val="Segoe UI"/>
        <family val="2"/>
      </rPr>
      <t xml:space="preserve">
</t>
    </r>
    <r>
      <rPr>
        <b/>
        <sz val="10"/>
        <color indexed="8"/>
        <rFont val="Segoe UI"/>
        <family val="2"/>
      </rPr>
      <t>Ex2</t>
    </r>
    <r>
      <rPr>
        <sz val="10"/>
        <color indexed="8"/>
        <rFont val="Segoe UI"/>
        <family val="2"/>
      </rPr>
      <t>: Evaluate third parties' evidence of compliance with contractual cybersecurity requirements, such as self-attestations, warranties, certifications, and other artifacts</t>
    </r>
    <r>
      <rPr>
        <sz val="10"/>
        <color theme="1"/>
        <rFont val="Segoe UI"/>
        <family val="2"/>
      </rPr>
      <t xml:space="preserve">
</t>
    </r>
    <r>
      <rPr>
        <b/>
        <sz val="10"/>
        <color indexed="8"/>
        <rFont val="Segoe UI"/>
        <family val="2"/>
      </rPr>
      <t>Ex3</t>
    </r>
    <r>
      <rPr>
        <sz val="10"/>
        <color indexed="8"/>
        <rFont val="Segoe UI"/>
        <family val="2"/>
      </rPr>
      <t>: Monitor critical suppliers to ensure that they are fulfilling their security obligations throughout the supplier relationship lifecycle using a variety of methods and techniques, such as inspections, audits, tests, or other forms of evaluation</t>
    </r>
    <r>
      <rPr>
        <sz val="10"/>
        <color theme="1"/>
        <rFont val="Segoe UI"/>
        <family val="2"/>
      </rPr>
      <t xml:space="preserve">
</t>
    </r>
    <r>
      <rPr>
        <b/>
        <sz val="10"/>
        <color indexed="8"/>
        <rFont val="Segoe UI"/>
        <family val="2"/>
      </rPr>
      <t>Ex4</t>
    </r>
    <r>
      <rPr>
        <sz val="10"/>
        <color indexed="8"/>
        <rFont val="Segoe UI"/>
        <family val="2"/>
      </rPr>
      <t>: Monitor critical suppliers, services, and products for changes to their risk profiles, and reevaluate supplier criticality and risk impact accordingly</t>
    </r>
    <r>
      <rPr>
        <sz val="10"/>
        <color theme="1"/>
        <rFont val="Segoe UI"/>
        <family val="2"/>
      </rPr>
      <t xml:space="preserve">
</t>
    </r>
    <r>
      <rPr>
        <b/>
        <sz val="10"/>
        <color indexed="8"/>
        <rFont val="Segoe UI"/>
        <family val="2"/>
      </rPr>
      <t>Ex5</t>
    </r>
    <r>
      <rPr>
        <sz val="10"/>
        <color indexed="8"/>
        <rFont val="Segoe UI"/>
        <family val="2"/>
      </rPr>
      <t>: Plan for unexpected supplier and supply chain-related interruptions to ensure business continuity</t>
    </r>
  </si>
  <si>
    <r>
      <rPr>
        <b/>
        <sz val="10"/>
        <color indexed="8"/>
        <rFont val="Segoe UI"/>
        <family val="2"/>
      </rPr>
      <t>Ex1</t>
    </r>
    <r>
      <rPr>
        <sz val="10"/>
        <color indexed="8"/>
        <rFont val="Segoe UI"/>
        <family val="2"/>
      </rPr>
      <t>: Define and use rules and protocols for reporting incident response and recovery activities and the status between the organization and its suppliers</t>
    </r>
    <r>
      <rPr>
        <sz val="10"/>
        <color theme="1"/>
        <rFont val="Segoe UI"/>
        <family val="2"/>
      </rPr>
      <t xml:space="preserve">
</t>
    </r>
    <r>
      <rPr>
        <b/>
        <sz val="10"/>
        <color indexed="8"/>
        <rFont val="Segoe UI"/>
        <family val="2"/>
      </rPr>
      <t>Ex2</t>
    </r>
    <r>
      <rPr>
        <sz val="10"/>
        <color indexed="8"/>
        <rFont val="Segoe UI"/>
        <family val="2"/>
      </rPr>
      <t>: Identify and document the roles and responsibilities of the organization and its suppliers for incident response</t>
    </r>
    <r>
      <rPr>
        <sz val="10"/>
        <color theme="1"/>
        <rFont val="Segoe UI"/>
        <family val="2"/>
      </rPr>
      <t xml:space="preserve">
</t>
    </r>
    <r>
      <rPr>
        <b/>
        <sz val="10"/>
        <color indexed="8"/>
        <rFont val="Segoe UI"/>
        <family val="2"/>
      </rPr>
      <t>Ex3</t>
    </r>
    <r>
      <rPr>
        <sz val="10"/>
        <color indexed="8"/>
        <rFont val="Segoe UI"/>
        <family val="2"/>
      </rPr>
      <t>: Include critical suppliers in incident response exercises and simulations</t>
    </r>
    <r>
      <rPr>
        <sz val="10"/>
        <color theme="1"/>
        <rFont val="Segoe UI"/>
        <family val="2"/>
      </rPr>
      <t xml:space="preserve">
</t>
    </r>
    <r>
      <rPr>
        <b/>
        <sz val="10"/>
        <color indexed="8"/>
        <rFont val="Segoe UI"/>
        <family val="2"/>
      </rPr>
      <t>Ex4</t>
    </r>
    <r>
      <rPr>
        <sz val="10"/>
        <color indexed="8"/>
        <rFont val="Segoe UI"/>
        <family val="2"/>
      </rPr>
      <t>: Define and coordinate crisis communication methods and protocols between the organization and its critical suppliers</t>
    </r>
    <r>
      <rPr>
        <sz val="10"/>
        <color theme="1"/>
        <rFont val="Segoe UI"/>
        <family val="2"/>
      </rPr>
      <t xml:space="preserve">
</t>
    </r>
    <r>
      <rPr>
        <b/>
        <sz val="10"/>
        <color indexed="8"/>
        <rFont val="Segoe UI"/>
        <family val="2"/>
      </rPr>
      <t>Ex5</t>
    </r>
    <r>
      <rPr>
        <sz val="10"/>
        <color indexed="8"/>
        <rFont val="Segoe UI"/>
        <family val="2"/>
      </rPr>
      <t>: Conduct collaborative lessons learned sessions with critical suppliers</t>
    </r>
  </si>
  <si>
    <r>
      <rPr>
        <b/>
        <sz val="10"/>
        <color indexed="8"/>
        <rFont val="Segoe UI"/>
        <family val="2"/>
      </rPr>
      <t>Ex1</t>
    </r>
    <r>
      <rPr>
        <sz val="10"/>
        <color indexed="8"/>
        <rFont val="Segoe UI"/>
        <family val="2"/>
      </rPr>
      <t>: Policies and procedures require provenance records for all acquired technology products and services</t>
    </r>
    <r>
      <rPr>
        <sz val="10"/>
        <color theme="1"/>
        <rFont val="Segoe UI"/>
        <family val="2"/>
      </rPr>
      <t xml:space="preserve">
</t>
    </r>
    <r>
      <rPr>
        <b/>
        <sz val="10"/>
        <color indexed="8"/>
        <rFont val="Segoe UI"/>
        <family val="2"/>
      </rPr>
      <t>Ex2</t>
    </r>
    <r>
      <rPr>
        <sz val="10"/>
        <color indexed="8"/>
        <rFont val="Segoe UI"/>
        <family val="2"/>
      </rPr>
      <t>: Periodically provide risk reporting to leaders about how acquired components are proven to be untampered and authentic</t>
    </r>
    <r>
      <rPr>
        <sz val="10"/>
        <color theme="1"/>
        <rFont val="Segoe UI"/>
        <family val="2"/>
      </rPr>
      <t xml:space="preserve">
</t>
    </r>
    <r>
      <rPr>
        <b/>
        <sz val="10"/>
        <color indexed="8"/>
        <rFont val="Segoe UI"/>
        <family val="2"/>
      </rPr>
      <t>Ex3</t>
    </r>
    <r>
      <rPr>
        <sz val="10"/>
        <color indexed="8"/>
        <rFont val="Segoe UI"/>
        <family val="2"/>
      </rPr>
      <t>: Communicate regularly among cybersecurity risk managers and operations personnel about the need to acquire software patches, updates, and upgrades only from authenticated and trustworthy software providers</t>
    </r>
    <r>
      <rPr>
        <sz val="10"/>
        <color theme="1"/>
        <rFont val="Segoe UI"/>
        <family val="2"/>
      </rPr>
      <t xml:space="preserve">
</t>
    </r>
    <r>
      <rPr>
        <b/>
        <sz val="10"/>
        <color indexed="8"/>
        <rFont val="Segoe UI"/>
        <family val="2"/>
      </rPr>
      <t>Ex4</t>
    </r>
    <r>
      <rPr>
        <sz val="10"/>
        <color indexed="8"/>
        <rFont val="Segoe UI"/>
        <family val="2"/>
      </rPr>
      <t>: Review policies to ensure that they require approved supplier personnel to perform maintenance on supplier products</t>
    </r>
    <r>
      <rPr>
        <sz val="10"/>
        <color theme="1"/>
        <rFont val="Segoe UI"/>
        <family val="2"/>
      </rPr>
      <t xml:space="preserve">
</t>
    </r>
    <r>
      <rPr>
        <b/>
        <sz val="10"/>
        <color indexed="8"/>
        <rFont val="Segoe UI"/>
        <family val="2"/>
      </rPr>
      <t>Ex5</t>
    </r>
    <r>
      <rPr>
        <sz val="10"/>
        <color indexed="8"/>
        <rFont val="Segoe UI"/>
        <family val="2"/>
      </rPr>
      <t>: Policies and procedure require checking upgrades to critical hardware for unauthorized changes</t>
    </r>
  </si>
  <si>
    <r>
      <rPr>
        <b/>
        <sz val="10"/>
        <color indexed="8"/>
        <rFont val="Segoe UI"/>
        <family val="2"/>
      </rPr>
      <t>Ex1</t>
    </r>
    <r>
      <rPr>
        <sz val="10"/>
        <color indexed="8"/>
        <rFont val="Segoe UI"/>
        <family val="2"/>
      </rPr>
      <t>: Establish processes for terminating critical relationships under both normal and adverse circumstances</t>
    </r>
    <r>
      <rPr>
        <sz val="10"/>
        <color theme="1"/>
        <rFont val="Segoe UI"/>
        <family val="2"/>
      </rPr>
      <t xml:space="preserve">
</t>
    </r>
    <r>
      <rPr>
        <b/>
        <sz val="10"/>
        <color indexed="8"/>
        <rFont val="Segoe UI"/>
        <family val="2"/>
      </rPr>
      <t>Ex2</t>
    </r>
    <r>
      <rPr>
        <sz val="10"/>
        <color indexed="8"/>
        <rFont val="Segoe UI"/>
        <family val="2"/>
      </rPr>
      <t>: Define and implement plans for component end-of-life maintenance support and obsolescence</t>
    </r>
    <r>
      <rPr>
        <sz val="10"/>
        <color theme="1"/>
        <rFont val="Segoe UI"/>
        <family val="2"/>
      </rPr>
      <t xml:space="preserve">
</t>
    </r>
    <r>
      <rPr>
        <b/>
        <sz val="10"/>
        <color indexed="8"/>
        <rFont val="Segoe UI"/>
        <family val="2"/>
      </rPr>
      <t>Ex3</t>
    </r>
    <r>
      <rPr>
        <sz val="10"/>
        <color indexed="8"/>
        <rFont val="Segoe UI"/>
        <family val="2"/>
      </rPr>
      <t>: Verify that supplier access to organization resources is deactivated promptly when it is no longer needed</t>
    </r>
    <r>
      <rPr>
        <sz val="10"/>
        <color theme="1"/>
        <rFont val="Segoe UI"/>
        <family val="2"/>
      </rPr>
      <t xml:space="preserve">
</t>
    </r>
    <r>
      <rPr>
        <b/>
        <sz val="10"/>
        <color indexed="8"/>
        <rFont val="Segoe UI"/>
        <family val="2"/>
      </rPr>
      <t>Ex4</t>
    </r>
    <r>
      <rPr>
        <sz val="10"/>
        <color indexed="8"/>
        <rFont val="Segoe UI"/>
        <family val="2"/>
      </rPr>
      <t>: Verify that assets containing the organization's data are returned or properly disposed of in a timely, controlled, and safe manner</t>
    </r>
    <r>
      <rPr>
        <sz val="10"/>
        <color theme="1"/>
        <rFont val="Segoe UI"/>
        <family val="2"/>
      </rPr>
      <t xml:space="preserve">
</t>
    </r>
    <r>
      <rPr>
        <b/>
        <sz val="10"/>
        <color indexed="8"/>
        <rFont val="Segoe UI"/>
        <family val="2"/>
      </rPr>
      <t>Ex5</t>
    </r>
    <r>
      <rPr>
        <sz val="10"/>
        <color indexed="8"/>
        <rFont val="Segoe UI"/>
        <family val="2"/>
      </rPr>
      <t>: Develop and execute a plan for terminating or transitioning supplier relationships that takes supply chain security risk and resiliency into account</t>
    </r>
    <r>
      <rPr>
        <sz val="10"/>
        <color theme="1"/>
        <rFont val="Segoe UI"/>
        <family val="2"/>
      </rPr>
      <t xml:space="preserve">
</t>
    </r>
    <r>
      <rPr>
        <b/>
        <sz val="10"/>
        <color indexed="8"/>
        <rFont val="Segoe UI"/>
        <family val="2"/>
      </rPr>
      <t>Ex6</t>
    </r>
    <r>
      <rPr>
        <sz val="10"/>
        <color indexed="8"/>
        <rFont val="Segoe UI"/>
        <family val="2"/>
      </rPr>
      <t>: Mitigate risks to data and systems created by supplier termination</t>
    </r>
    <r>
      <rPr>
        <sz val="10"/>
        <color theme="1"/>
        <rFont val="Segoe UI"/>
        <family val="2"/>
      </rPr>
      <t xml:space="preserve">
</t>
    </r>
    <r>
      <rPr>
        <b/>
        <sz val="10"/>
        <color indexed="8"/>
        <rFont val="Segoe UI"/>
        <family val="2"/>
      </rPr>
      <t>Ex7</t>
    </r>
    <r>
      <rPr>
        <sz val="10"/>
        <color indexed="8"/>
        <rFont val="Segoe UI"/>
        <family val="2"/>
      </rPr>
      <t>: Manage data leakage risks associated with supplier termination</t>
    </r>
  </si>
  <si>
    <r>
      <rPr>
        <b/>
        <sz val="10"/>
        <color indexed="8"/>
        <rFont val="Segoe UI"/>
        <family val="2"/>
      </rPr>
      <t>Ex1</t>
    </r>
    <r>
      <rPr>
        <sz val="10"/>
        <color indexed="8"/>
        <rFont val="Segoe UI"/>
        <family val="2"/>
      </rPr>
      <t>: Maintain inventories for all types of hardware, including IT, IoT, OT, and mobile devices</t>
    </r>
    <r>
      <rPr>
        <sz val="10"/>
        <color theme="1"/>
        <rFont val="Segoe UI"/>
        <family val="2"/>
      </rPr>
      <t xml:space="preserve">
</t>
    </r>
    <r>
      <rPr>
        <b/>
        <sz val="10"/>
        <color indexed="8"/>
        <rFont val="Segoe UI"/>
        <family val="2"/>
      </rPr>
      <t>Ex2</t>
    </r>
    <r>
      <rPr>
        <sz val="10"/>
        <color indexed="8"/>
        <rFont val="Segoe UI"/>
        <family val="2"/>
      </rPr>
      <t>: Constantly monitor networks to detect new hardware and automatically update inventories</t>
    </r>
  </si>
  <si>
    <r>
      <rPr>
        <b/>
        <sz val="10"/>
        <color indexed="8"/>
        <rFont val="Segoe UI"/>
        <family val="2"/>
      </rPr>
      <t>Ex1</t>
    </r>
    <r>
      <rPr>
        <sz val="10"/>
        <color indexed="8"/>
        <rFont val="Segoe UI"/>
        <family val="2"/>
      </rPr>
      <t>: Maintain inventories for all types of software and services, including commercial-off-the-shelf, open-source, custom applications, API services, and cloud-based applications and services</t>
    </r>
    <r>
      <rPr>
        <sz val="10"/>
        <color theme="1"/>
        <rFont val="Segoe UI"/>
        <family val="2"/>
      </rPr>
      <t xml:space="preserve">
</t>
    </r>
    <r>
      <rPr>
        <b/>
        <sz val="10"/>
        <color indexed="8"/>
        <rFont val="Segoe UI"/>
        <family val="2"/>
      </rPr>
      <t>Ex2</t>
    </r>
    <r>
      <rPr>
        <sz val="10"/>
        <color indexed="8"/>
        <rFont val="Segoe UI"/>
        <family val="2"/>
      </rPr>
      <t>: Constantly monitor all platforms, including containers and virtual machines, for software and service inventory changes</t>
    </r>
    <r>
      <rPr>
        <sz val="10"/>
        <color theme="1"/>
        <rFont val="Segoe UI"/>
        <family val="2"/>
      </rPr>
      <t xml:space="preserve">
</t>
    </r>
    <r>
      <rPr>
        <b/>
        <sz val="10"/>
        <color indexed="8"/>
        <rFont val="Segoe UI"/>
        <family val="2"/>
      </rPr>
      <t>Ex3</t>
    </r>
    <r>
      <rPr>
        <sz val="10"/>
        <color indexed="8"/>
        <rFont val="Segoe UI"/>
        <family val="2"/>
      </rPr>
      <t>: Maintain an inventory of the organization's systems</t>
    </r>
  </si>
  <si>
    <r>
      <rPr>
        <b/>
        <sz val="10"/>
        <color indexed="8"/>
        <rFont val="Segoe UI"/>
        <family val="2"/>
      </rPr>
      <t>Ex1</t>
    </r>
    <r>
      <rPr>
        <sz val="10"/>
        <color indexed="8"/>
        <rFont val="Segoe UI"/>
        <family val="2"/>
      </rPr>
      <t>: Maintain baselines of communication and data flows within the organization's wired and wireless networks</t>
    </r>
    <r>
      <rPr>
        <sz val="10"/>
        <color theme="1"/>
        <rFont val="Segoe UI"/>
        <family val="2"/>
      </rPr>
      <t xml:space="preserve">
</t>
    </r>
    <r>
      <rPr>
        <b/>
        <sz val="10"/>
        <color indexed="8"/>
        <rFont val="Segoe UI"/>
        <family val="2"/>
      </rPr>
      <t>Ex2</t>
    </r>
    <r>
      <rPr>
        <sz val="10"/>
        <color indexed="8"/>
        <rFont val="Segoe UI"/>
        <family val="2"/>
      </rPr>
      <t>: Maintain baselines of communication and data flows between the organization and third parties</t>
    </r>
    <r>
      <rPr>
        <sz val="10"/>
        <color theme="1"/>
        <rFont val="Segoe UI"/>
        <family val="2"/>
      </rPr>
      <t xml:space="preserve">
</t>
    </r>
    <r>
      <rPr>
        <b/>
        <sz val="10"/>
        <color indexed="8"/>
        <rFont val="Segoe UI"/>
        <family val="2"/>
      </rPr>
      <t>Ex3</t>
    </r>
    <r>
      <rPr>
        <sz val="10"/>
        <color indexed="8"/>
        <rFont val="Segoe UI"/>
        <family val="2"/>
      </rPr>
      <t>: Maintain baselines of communication and data flows for the organization's infrastructure-as-a-service (IaaS) usage</t>
    </r>
    <r>
      <rPr>
        <sz val="10"/>
        <color theme="1"/>
        <rFont val="Segoe UI"/>
        <family val="2"/>
      </rPr>
      <t xml:space="preserve">
</t>
    </r>
    <r>
      <rPr>
        <b/>
        <sz val="10"/>
        <color indexed="8"/>
        <rFont val="Segoe UI"/>
        <family val="2"/>
      </rPr>
      <t>Ex4</t>
    </r>
    <r>
      <rPr>
        <sz val="10"/>
        <color indexed="8"/>
        <rFont val="Segoe UI"/>
        <family val="2"/>
      </rPr>
      <t>: Maintain documentation of expected network ports, protocols, and services that are typically used among authorized systems</t>
    </r>
  </si>
  <si>
    <r>
      <rPr>
        <b/>
        <sz val="10"/>
        <color indexed="8"/>
        <rFont val="Segoe UI"/>
        <family val="2"/>
      </rPr>
      <t>Ex1</t>
    </r>
    <r>
      <rPr>
        <sz val="10"/>
        <color indexed="8"/>
        <rFont val="Segoe UI"/>
        <family val="2"/>
      </rPr>
      <t>: Inventory all external services used by the organization, including third-party infrastructure-as-a-service (IaaS), platform-as-a-service (PaaS), and software-as-a-service (SaaS) offerings; APIs; and other externally hosted application services</t>
    </r>
    <r>
      <rPr>
        <sz val="10"/>
        <color theme="1"/>
        <rFont val="Segoe UI"/>
        <family val="2"/>
      </rPr>
      <t xml:space="preserve">
</t>
    </r>
    <r>
      <rPr>
        <b/>
        <sz val="10"/>
        <color indexed="8"/>
        <rFont val="Segoe UI"/>
        <family val="2"/>
      </rPr>
      <t>Ex2</t>
    </r>
    <r>
      <rPr>
        <sz val="10"/>
        <color indexed="8"/>
        <rFont val="Segoe UI"/>
        <family val="2"/>
      </rPr>
      <t>: Update the inventory when a new external service is going to be utilized to ensure adequate cybersecurity risk management monitoring of the organization's use of that service</t>
    </r>
  </si>
  <si>
    <r>
      <rPr>
        <b/>
        <sz val="10"/>
        <color indexed="8"/>
        <rFont val="Segoe UI"/>
        <family val="2"/>
      </rPr>
      <t>Ex1</t>
    </r>
    <r>
      <rPr>
        <sz val="10"/>
        <color indexed="8"/>
        <rFont val="Segoe UI"/>
        <family val="2"/>
      </rPr>
      <t>: Define criteria for prioritizing each class of assets</t>
    </r>
    <r>
      <rPr>
        <sz val="10"/>
        <color theme="1"/>
        <rFont val="Segoe UI"/>
        <family val="2"/>
      </rPr>
      <t xml:space="preserve">
</t>
    </r>
    <r>
      <rPr>
        <b/>
        <sz val="10"/>
        <color indexed="8"/>
        <rFont val="Segoe UI"/>
        <family val="2"/>
      </rPr>
      <t>Ex2</t>
    </r>
    <r>
      <rPr>
        <sz val="10"/>
        <color indexed="8"/>
        <rFont val="Segoe UI"/>
        <family val="2"/>
      </rPr>
      <t>: Apply the prioritization criteria to assets</t>
    </r>
    <r>
      <rPr>
        <sz val="10"/>
        <color theme="1"/>
        <rFont val="Segoe UI"/>
        <family val="2"/>
      </rPr>
      <t xml:space="preserve">
</t>
    </r>
    <r>
      <rPr>
        <b/>
        <sz val="10"/>
        <color indexed="8"/>
        <rFont val="Segoe UI"/>
        <family val="2"/>
      </rPr>
      <t>Ex3</t>
    </r>
    <r>
      <rPr>
        <sz val="10"/>
        <color indexed="8"/>
        <rFont val="Segoe UI"/>
        <family val="2"/>
      </rPr>
      <t>: Track the asset priorities and update them periodically or when significant changes to the organization occur</t>
    </r>
  </si>
  <si>
    <r>
      <rPr>
        <b/>
        <sz val="10"/>
        <color indexed="8"/>
        <rFont val="Segoe UI"/>
        <family val="2"/>
      </rPr>
      <t>Ex1</t>
    </r>
    <r>
      <rPr>
        <sz val="10"/>
        <color indexed="8"/>
        <rFont val="Segoe UI"/>
        <family val="2"/>
      </rPr>
      <t>: Maintain a list of the designated data types of interest (e.g., personally identifiable information, protected health information, financial account numbers, organization intellectual property, operational technology data)</t>
    </r>
    <r>
      <rPr>
        <sz val="10"/>
        <color theme="1"/>
        <rFont val="Segoe UI"/>
        <family val="2"/>
      </rPr>
      <t xml:space="preserve">
</t>
    </r>
    <r>
      <rPr>
        <b/>
        <sz val="10"/>
        <color indexed="8"/>
        <rFont val="Segoe UI"/>
        <family val="2"/>
      </rPr>
      <t>Ex2</t>
    </r>
    <r>
      <rPr>
        <sz val="10"/>
        <color indexed="8"/>
        <rFont val="Segoe UI"/>
        <family val="2"/>
      </rPr>
      <t>: Continuously discover and analyze ad hoc data to identify new instances of designated data types</t>
    </r>
    <r>
      <rPr>
        <sz val="10"/>
        <color theme="1"/>
        <rFont val="Segoe UI"/>
        <family val="2"/>
      </rPr>
      <t xml:space="preserve">
</t>
    </r>
    <r>
      <rPr>
        <b/>
        <sz val="10"/>
        <color indexed="8"/>
        <rFont val="Segoe UI"/>
        <family val="2"/>
      </rPr>
      <t>Ex3</t>
    </r>
    <r>
      <rPr>
        <sz val="10"/>
        <color indexed="8"/>
        <rFont val="Segoe UI"/>
        <family val="2"/>
      </rPr>
      <t>: Assign data classifications to designated data types through tags or labels</t>
    </r>
    <r>
      <rPr>
        <sz val="10"/>
        <color theme="1"/>
        <rFont val="Segoe UI"/>
        <family val="2"/>
      </rPr>
      <t xml:space="preserve">
</t>
    </r>
    <r>
      <rPr>
        <b/>
        <sz val="10"/>
        <color indexed="8"/>
        <rFont val="Segoe UI"/>
        <family val="2"/>
      </rPr>
      <t>Ex4</t>
    </r>
    <r>
      <rPr>
        <sz val="10"/>
        <color indexed="8"/>
        <rFont val="Segoe UI"/>
        <family val="2"/>
      </rPr>
      <t>: Track the provenance, data owner, and geolocation of each instance of designated data types</t>
    </r>
  </si>
  <si>
    <r>
      <rPr>
        <b/>
        <sz val="10"/>
        <color indexed="8"/>
        <rFont val="Segoe UI"/>
        <family val="2"/>
      </rPr>
      <t>Ex1</t>
    </r>
    <r>
      <rPr>
        <sz val="10"/>
        <color indexed="8"/>
        <rFont val="Segoe UI"/>
        <family val="2"/>
      </rPr>
      <t>: Integrate cybersecurity considerations throughout the life cycles of systems, hardware, software, and services</t>
    </r>
    <r>
      <rPr>
        <sz val="10"/>
        <color theme="1"/>
        <rFont val="Segoe UI"/>
        <family val="2"/>
      </rPr>
      <t xml:space="preserve">
</t>
    </r>
    <r>
      <rPr>
        <b/>
        <sz val="10"/>
        <color indexed="8"/>
        <rFont val="Segoe UI"/>
        <family val="2"/>
      </rPr>
      <t>Ex2</t>
    </r>
    <r>
      <rPr>
        <sz val="10"/>
        <color indexed="8"/>
        <rFont val="Segoe UI"/>
        <family val="2"/>
      </rPr>
      <t>: Integrate cybersecurity considerations into product life cycles</t>
    </r>
    <r>
      <rPr>
        <sz val="10"/>
        <color theme="1"/>
        <rFont val="Segoe UI"/>
        <family val="2"/>
      </rPr>
      <t xml:space="preserve">
</t>
    </r>
    <r>
      <rPr>
        <b/>
        <sz val="10"/>
        <color indexed="8"/>
        <rFont val="Segoe UI"/>
        <family val="2"/>
      </rPr>
      <t>Ex3</t>
    </r>
    <r>
      <rPr>
        <sz val="10"/>
        <color indexed="8"/>
        <rFont val="Segoe UI"/>
        <family val="2"/>
      </rPr>
      <t>: Identify unofficial uses of technology to meet mission objectives (i.e., shadow IT)</t>
    </r>
    <r>
      <rPr>
        <sz val="10"/>
        <color theme="1"/>
        <rFont val="Segoe UI"/>
        <family val="2"/>
      </rPr>
      <t xml:space="preserve">
</t>
    </r>
    <r>
      <rPr>
        <b/>
        <sz val="10"/>
        <color indexed="8"/>
        <rFont val="Segoe UI"/>
        <family val="2"/>
      </rPr>
      <t>Ex4</t>
    </r>
    <r>
      <rPr>
        <sz val="10"/>
        <color indexed="8"/>
        <rFont val="Segoe UI"/>
        <family val="2"/>
      </rPr>
      <t>: Periodically identify redundant systems, hardware, software, and services that unnecessarily increase the organization's attack surface</t>
    </r>
    <r>
      <rPr>
        <sz val="10"/>
        <color theme="1"/>
        <rFont val="Segoe UI"/>
        <family val="2"/>
      </rPr>
      <t xml:space="preserve">
</t>
    </r>
    <r>
      <rPr>
        <b/>
        <sz val="10"/>
        <color indexed="8"/>
        <rFont val="Segoe UI"/>
        <family val="2"/>
      </rPr>
      <t>Ex5</t>
    </r>
    <r>
      <rPr>
        <sz val="10"/>
        <color indexed="8"/>
        <rFont val="Segoe UI"/>
        <family val="2"/>
      </rPr>
      <t>: Properly configure and secure systems, hardware, software, and services prior to their deployment in production</t>
    </r>
    <r>
      <rPr>
        <sz val="10"/>
        <color theme="1"/>
        <rFont val="Segoe UI"/>
        <family val="2"/>
      </rPr>
      <t xml:space="preserve">
</t>
    </r>
    <r>
      <rPr>
        <b/>
        <sz val="10"/>
        <color indexed="8"/>
        <rFont val="Segoe UI"/>
        <family val="2"/>
      </rPr>
      <t>Ex6</t>
    </r>
    <r>
      <rPr>
        <sz val="10"/>
        <color indexed="8"/>
        <rFont val="Segoe UI"/>
        <family val="2"/>
      </rPr>
      <t>: Update inventories when systems, hardware, software, and services are moved or transferred within the organization</t>
    </r>
    <r>
      <rPr>
        <sz val="10"/>
        <color theme="1"/>
        <rFont val="Segoe UI"/>
        <family val="2"/>
      </rPr>
      <t xml:space="preserve">
</t>
    </r>
    <r>
      <rPr>
        <b/>
        <sz val="10"/>
        <color indexed="8"/>
        <rFont val="Segoe UI"/>
        <family val="2"/>
      </rPr>
      <t>Ex7</t>
    </r>
    <r>
      <rPr>
        <sz val="10"/>
        <color indexed="8"/>
        <rFont val="Segoe UI"/>
        <family val="2"/>
      </rPr>
      <t>: Securely destroy stored data based on the organization's data retention policy using the prescribed destruction method, and keep and manage a record of the destructions</t>
    </r>
    <r>
      <rPr>
        <sz val="10"/>
        <color theme="1"/>
        <rFont val="Segoe UI"/>
        <family val="2"/>
      </rPr>
      <t xml:space="preserve">
</t>
    </r>
    <r>
      <rPr>
        <b/>
        <sz val="10"/>
        <color indexed="8"/>
        <rFont val="Segoe UI"/>
        <family val="2"/>
      </rPr>
      <t>Ex8</t>
    </r>
    <r>
      <rPr>
        <sz val="10"/>
        <color indexed="8"/>
        <rFont val="Segoe UI"/>
        <family val="2"/>
      </rPr>
      <t>: Securely sanitize data storage when hardware is being retired, decommissioned, reassigned, or sent for repairs or replacement</t>
    </r>
    <r>
      <rPr>
        <sz val="10"/>
        <color theme="1"/>
        <rFont val="Segoe UI"/>
        <family val="2"/>
      </rPr>
      <t xml:space="preserve">
</t>
    </r>
    <r>
      <rPr>
        <b/>
        <sz val="10"/>
        <color indexed="8"/>
        <rFont val="Segoe UI"/>
        <family val="2"/>
      </rPr>
      <t>Ex9</t>
    </r>
    <r>
      <rPr>
        <sz val="10"/>
        <color indexed="8"/>
        <rFont val="Segoe UI"/>
        <family val="2"/>
      </rPr>
      <t>: Offer methods for destroying paper, storage media, and other physical forms of data storage</t>
    </r>
  </si>
  <si>
    <r>
      <rPr>
        <b/>
        <sz val="10"/>
        <color indexed="8"/>
        <rFont val="Segoe UI"/>
        <family val="2"/>
      </rPr>
      <t>Ex1</t>
    </r>
    <r>
      <rPr>
        <sz val="10"/>
        <color indexed="8"/>
        <rFont val="Segoe UI"/>
        <family val="2"/>
      </rPr>
      <t>: Use vulnerability management technologies to identify unpatched and misconfigured software</t>
    </r>
    <r>
      <rPr>
        <sz val="10"/>
        <color theme="1"/>
        <rFont val="Segoe UI"/>
        <family val="2"/>
      </rPr>
      <t xml:space="preserve">
</t>
    </r>
    <r>
      <rPr>
        <b/>
        <sz val="10"/>
        <color indexed="8"/>
        <rFont val="Segoe UI"/>
        <family val="2"/>
      </rPr>
      <t>Ex2</t>
    </r>
    <r>
      <rPr>
        <sz val="10"/>
        <color indexed="8"/>
        <rFont val="Segoe UI"/>
        <family val="2"/>
      </rPr>
      <t>: Assess network and system architectures for design and implementation weaknesses that affect cybersecurity</t>
    </r>
    <r>
      <rPr>
        <sz val="10"/>
        <color theme="1"/>
        <rFont val="Segoe UI"/>
        <family val="2"/>
      </rPr>
      <t xml:space="preserve">
</t>
    </r>
    <r>
      <rPr>
        <b/>
        <sz val="10"/>
        <color indexed="8"/>
        <rFont val="Segoe UI"/>
        <family val="2"/>
      </rPr>
      <t>Ex3</t>
    </r>
    <r>
      <rPr>
        <sz val="10"/>
        <color indexed="8"/>
        <rFont val="Segoe UI"/>
        <family val="2"/>
      </rPr>
      <t>: Review, analyze, or test organization-developed software to identify design, coding, and default configuration vulnerabilities</t>
    </r>
    <r>
      <rPr>
        <sz val="10"/>
        <color theme="1"/>
        <rFont val="Segoe UI"/>
        <family val="2"/>
      </rPr>
      <t xml:space="preserve">
</t>
    </r>
    <r>
      <rPr>
        <b/>
        <sz val="10"/>
        <color indexed="8"/>
        <rFont val="Segoe UI"/>
        <family val="2"/>
      </rPr>
      <t>Ex4</t>
    </r>
    <r>
      <rPr>
        <sz val="10"/>
        <color indexed="8"/>
        <rFont val="Segoe UI"/>
        <family val="2"/>
      </rPr>
      <t>: Assess facilities that house critical computing assets for physical vulnerabilities and resilience issues</t>
    </r>
    <r>
      <rPr>
        <sz val="10"/>
        <color theme="1"/>
        <rFont val="Segoe UI"/>
        <family val="2"/>
      </rPr>
      <t xml:space="preserve">
</t>
    </r>
    <r>
      <rPr>
        <b/>
        <sz val="10"/>
        <color indexed="8"/>
        <rFont val="Segoe UI"/>
        <family val="2"/>
      </rPr>
      <t>Ex5</t>
    </r>
    <r>
      <rPr>
        <sz val="10"/>
        <color indexed="8"/>
        <rFont val="Segoe UI"/>
        <family val="2"/>
      </rPr>
      <t>: Monitor sources of cyber threat intelligence for information on new vulnerabilities in products and services</t>
    </r>
    <r>
      <rPr>
        <sz val="10"/>
        <color theme="1"/>
        <rFont val="Segoe UI"/>
        <family val="2"/>
      </rPr>
      <t xml:space="preserve">
</t>
    </r>
    <r>
      <rPr>
        <b/>
        <sz val="10"/>
        <color indexed="8"/>
        <rFont val="Segoe UI"/>
        <family val="2"/>
      </rPr>
      <t>Ex6</t>
    </r>
    <r>
      <rPr>
        <sz val="10"/>
        <color indexed="8"/>
        <rFont val="Segoe UI"/>
        <family val="2"/>
      </rPr>
      <t>: Review processes and procedures for weaknesses that could be exploited to affect cybersecurity</t>
    </r>
  </si>
  <si>
    <r>
      <rPr>
        <b/>
        <sz val="10"/>
        <color indexed="8"/>
        <rFont val="Segoe UI"/>
        <family val="2"/>
      </rPr>
      <t>Ex1</t>
    </r>
    <r>
      <rPr>
        <sz val="10"/>
        <color indexed="8"/>
        <rFont val="Segoe UI"/>
        <family val="2"/>
      </rPr>
      <t>: Configure cybersecurity tools and technologies with detection or response capabilities to securely ingest cyber threat intelligence feeds</t>
    </r>
    <r>
      <rPr>
        <sz val="10"/>
        <color theme="1"/>
        <rFont val="Segoe UI"/>
        <family val="2"/>
      </rPr>
      <t xml:space="preserve">
</t>
    </r>
    <r>
      <rPr>
        <b/>
        <sz val="10"/>
        <color indexed="8"/>
        <rFont val="Segoe UI"/>
        <family val="2"/>
      </rPr>
      <t>Ex2</t>
    </r>
    <r>
      <rPr>
        <sz val="10"/>
        <color indexed="8"/>
        <rFont val="Segoe UI"/>
        <family val="2"/>
      </rPr>
      <t>: Receive and review advisories from reputable third parties on current threat actors and their tactics, techniques, and procedures (TTPs)</t>
    </r>
    <r>
      <rPr>
        <sz val="10"/>
        <color theme="1"/>
        <rFont val="Segoe UI"/>
        <family val="2"/>
      </rPr>
      <t xml:space="preserve">
</t>
    </r>
    <r>
      <rPr>
        <b/>
        <sz val="10"/>
        <color indexed="8"/>
        <rFont val="Segoe UI"/>
        <family val="2"/>
      </rPr>
      <t>Ex3</t>
    </r>
    <r>
      <rPr>
        <sz val="10"/>
        <color indexed="8"/>
        <rFont val="Segoe UI"/>
        <family val="2"/>
      </rPr>
      <t>: Monitor sources of cyber threat intelligence for information on the types of vulnerabilities that emerging technologies may have</t>
    </r>
  </si>
  <si>
    <r>
      <rPr>
        <b/>
        <sz val="10"/>
        <color indexed="8"/>
        <rFont val="Segoe UI"/>
        <family val="2"/>
      </rPr>
      <t>Ex1</t>
    </r>
    <r>
      <rPr>
        <sz val="10"/>
        <color indexed="8"/>
        <rFont val="Segoe UI"/>
        <family val="2"/>
      </rPr>
      <t>: Use cyber threat intelligence to maintain awareness of the types of threat actors likely to target the organization and the TTPs they are likely to use</t>
    </r>
    <r>
      <rPr>
        <sz val="10"/>
        <color theme="1"/>
        <rFont val="Segoe UI"/>
        <family val="2"/>
      </rPr>
      <t xml:space="preserve">
</t>
    </r>
    <r>
      <rPr>
        <b/>
        <sz val="10"/>
        <color indexed="8"/>
        <rFont val="Segoe UI"/>
        <family val="2"/>
      </rPr>
      <t>Ex2</t>
    </r>
    <r>
      <rPr>
        <sz val="10"/>
        <color indexed="8"/>
        <rFont val="Segoe UI"/>
        <family val="2"/>
      </rPr>
      <t>: Perform threat hunting to look for signs of threat actors within the environment</t>
    </r>
    <r>
      <rPr>
        <sz val="10"/>
        <color theme="1"/>
        <rFont val="Segoe UI"/>
        <family val="2"/>
      </rPr>
      <t xml:space="preserve">
</t>
    </r>
    <r>
      <rPr>
        <b/>
        <sz val="10"/>
        <color indexed="8"/>
        <rFont val="Segoe UI"/>
        <family val="2"/>
      </rPr>
      <t>Ex3</t>
    </r>
    <r>
      <rPr>
        <sz val="10"/>
        <color indexed="8"/>
        <rFont val="Segoe UI"/>
        <family val="2"/>
      </rPr>
      <t>: Implement processes for identifying internal threat actors</t>
    </r>
  </si>
  <si>
    <r>
      <rPr>
        <b/>
        <sz val="10"/>
        <color indexed="8"/>
        <rFont val="Segoe UI"/>
        <family val="2"/>
      </rPr>
      <t>Ex1</t>
    </r>
    <r>
      <rPr>
        <sz val="10"/>
        <color indexed="8"/>
        <rFont val="Segoe UI"/>
        <family val="2"/>
      </rPr>
      <t>: Business leaders and cybersecurity risk management practitioners work together to estimate the likelihood and impact of risk scenarios and record them in risk registers</t>
    </r>
    <r>
      <rPr>
        <sz val="10"/>
        <color theme="1"/>
        <rFont val="Segoe UI"/>
        <family val="2"/>
      </rPr>
      <t xml:space="preserve">
</t>
    </r>
    <r>
      <rPr>
        <b/>
        <sz val="10"/>
        <color indexed="8"/>
        <rFont val="Segoe UI"/>
        <family val="2"/>
      </rPr>
      <t>Ex2</t>
    </r>
    <r>
      <rPr>
        <sz val="10"/>
        <color indexed="8"/>
        <rFont val="Segoe UI"/>
        <family val="2"/>
      </rPr>
      <t>: Enumerate the potential business impacts of unauthorized access to the organization's communications, systems, and data processed in or by those systems</t>
    </r>
    <r>
      <rPr>
        <sz val="10"/>
        <color theme="1"/>
        <rFont val="Segoe UI"/>
        <family val="2"/>
      </rPr>
      <t xml:space="preserve">
</t>
    </r>
    <r>
      <rPr>
        <b/>
        <sz val="10"/>
        <color indexed="8"/>
        <rFont val="Segoe UI"/>
        <family val="2"/>
      </rPr>
      <t>Ex3</t>
    </r>
    <r>
      <rPr>
        <sz val="10"/>
        <color indexed="8"/>
        <rFont val="Segoe UI"/>
        <family val="2"/>
      </rPr>
      <t>: Account for the potential impacts of cascading failures for systems of systems</t>
    </r>
  </si>
  <si>
    <r>
      <rPr>
        <b/>
        <sz val="10"/>
        <color indexed="8"/>
        <rFont val="Segoe UI"/>
        <family val="2"/>
      </rPr>
      <t>Ex1</t>
    </r>
    <r>
      <rPr>
        <sz val="10"/>
        <color indexed="8"/>
        <rFont val="Segoe UI"/>
        <family val="2"/>
      </rPr>
      <t>: Develop threat models to better understand risks to the data and identify appropriate risk responses</t>
    </r>
    <r>
      <rPr>
        <sz val="10"/>
        <color theme="1"/>
        <rFont val="Segoe UI"/>
        <family val="2"/>
      </rPr>
      <t xml:space="preserve">
</t>
    </r>
    <r>
      <rPr>
        <b/>
        <sz val="10"/>
        <color indexed="8"/>
        <rFont val="Segoe UI"/>
        <family val="2"/>
      </rPr>
      <t>Ex2</t>
    </r>
    <r>
      <rPr>
        <sz val="10"/>
        <color indexed="8"/>
        <rFont val="Segoe UI"/>
        <family val="2"/>
      </rPr>
      <t>: Prioritize cybersecurity resource allocations and investments based on estimated likelihoods and impacts</t>
    </r>
  </si>
  <si>
    <r>
      <rPr>
        <b/>
        <sz val="10"/>
        <color indexed="8"/>
        <rFont val="Segoe UI"/>
        <family val="2"/>
      </rPr>
      <t>Ex1</t>
    </r>
    <r>
      <rPr>
        <sz val="10"/>
        <color indexed="8"/>
        <rFont val="Segoe UI"/>
        <family val="2"/>
      </rPr>
      <t>: Apply the vulnerability management plan's criteria for deciding whether to accept, transfer, mitigate, or avoid risk</t>
    </r>
    <r>
      <rPr>
        <sz val="10"/>
        <color theme="1"/>
        <rFont val="Segoe UI"/>
        <family val="2"/>
      </rPr>
      <t xml:space="preserve">
</t>
    </r>
    <r>
      <rPr>
        <b/>
        <sz val="10"/>
        <color indexed="8"/>
        <rFont val="Segoe UI"/>
        <family val="2"/>
      </rPr>
      <t>Ex2</t>
    </r>
    <r>
      <rPr>
        <sz val="10"/>
        <color indexed="8"/>
        <rFont val="Segoe UI"/>
        <family val="2"/>
      </rPr>
      <t>: Apply the vulnerability management plan's criteria for selecting compensating controls to mitigate risk</t>
    </r>
    <r>
      <rPr>
        <sz val="10"/>
        <color theme="1"/>
        <rFont val="Segoe UI"/>
        <family val="2"/>
      </rPr>
      <t xml:space="preserve">
</t>
    </r>
    <r>
      <rPr>
        <b/>
        <sz val="10"/>
        <color indexed="8"/>
        <rFont val="Segoe UI"/>
        <family val="2"/>
      </rPr>
      <t>Ex3</t>
    </r>
    <r>
      <rPr>
        <sz val="10"/>
        <color indexed="8"/>
        <rFont val="Segoe UI"/>
        <family val="2"/>
      </rPr>
      <t>: Track the progress of risk response implementation (e.g., plan of action and milestones [POA&amp;M], risk register, risk detail report)</t>
    </r>
    <r>
      <rPr>
        <sz val="10"/>
        <color theme="1"/>
        <rFont val="Segoe UI"/>
        <family val="2"/>
      </rPr>
      <t xml:space="preserve">
</t>
    </r>
    <r>
      <rPr>
        <b/>
        <sz val="10"/>
        <color indexed="8"/>
        <rFont val="Segoe UI"/>
        <family val="2"/>
      </rPr>
      <t>Ex4</t>
    </r>
    <r>
      <rPr>
        <sz val="10"/>
        <color indexed="8"/>
        <rFont val="Segoe UI"/>
        <family val="2"/>
      </rPr>
      <t>: Use risk assessment findings to inform risk response decisions and actions</t>
    </r>
    <r>
      <rPr>
        <sz val="10"/>
        <color theme="1"/>
        <rFont val="Segoe UI"/>
        <family val="2"/>
      </rPr>
      <t xml:space="preserve">
</t>
    </r>
    <r>
      <rPr>
        <b/>
        <sz val="10"/>
        <color indexed="8"/>
        <rFont val="Segoe UI"/>
        <family val="2"/>
      </rPr>
      <t>Ex5</t>
    </r>
    <r>
      <rPr>
        <sz val="10"/>
        <color indexed="8"/>
        <rFont val="Segoe UI"/>
        <family val="2"/>
      </rPr>
      <t>: Communicate planned risk responses to affected stakeholders in priority order</t>
    </r>
  </si>
  <si>
    <r>
      <rPr>
        <b/>
        <sz val="10"/>
        <color indexed="8"/>
        <rFont val="Segoe UI"/>
        <family val="2"/>
      </rPr>
      <t>Ex1</t>
    </r>
    <r>
      <rPr>
        <sz val="10"/>
        <color indexed="8"/>
        <rFont val="Segoe UI"/>
        <family val="2"/>
      </rPr>
      <t>: Implement and follow procedures for the formal documentation, review, testing, and approval of proposed changes and requested exceptions</t>
    </r>
    <r>
      <rPr>
        <sz val="10"/>
        <color theme="1"/>
        <rFont val="Segoe UI"/>
        <family val="2"/>
      </rPr>
      <t xml:space="preserve">
</t>
    </r>
    <r>
      <rPr>
        <b/>
        <sz val="10"/>
        <color indexed="8"/>
        <rFont val="Segoe UI"/>
        <family val="2"/>
      </rPr>
      <t>Ex2</t>
    </r>
    <r>
      <rPr>
        <sz val="10"/>
        <color indexed="8"/>
        <rFont val="Segoe UI"/>
        <family val="2"/>
      </rPr>
      <t>: Document the possible risks of making or not making each proposed change, and provide guidance on rolling back changes</t>
    </r>
    <r>
      <rPr>
        <sz val="10"/>
        <color theme="1"/>
        <rFont val="Segoe UI"/>
        <family val="2"/>
      </rPr>
      <t xml:space="preserve">
</t>
    </r>
    <r>
      <rPr>
        <b/>
        <sz val="10"/>
        <color indexed="8"/>
        <rFont val="Segoe UI"/>
        <family val="2"/>
      </rPr>
      <t>Ex3</t>
    </r>
    <r>
      <rPr>
        <sz val="10"/>
        <color indexed="8"/>
        <rFont val="Segoe UI"/>
        <family val="2"/>
      </rPr>
      <t>: Document the risks related to each requested exception and the plan for responding to those risks</t>
    </r>
    <r>
      <rPr>
        <sz val="10"/>
        <color theme="1"/>
        <rFont val="Segoe UI"/>
        <family val="2"/>
      </rPr>
      <t xml:space="preserve">
</t>
    </r>
    <r>
      <rPr>
        <b/>
        <sz val="10"/>
        <color indexed="8"/>
        <rFont val="Segoe UI"/>
        <family val="2"/>
      </rPr>
      <t>Ex4</t>
    </r>
    <r>
      <rPr>
        <sz val="10"/>
        <color indexed="8"/>
        <rFont val="Segoe UI"/>
        <family val="2"/>
      </rPr>
      <t>: Periodically review risks that were accepted based upon planned future actions or milestones</t>
    </r>
  </si>
  <si>
    <r>
      <rPr>
        <b/>
        <sz val="10"/>
        <color indexed="8"/>
        <rFont val="Segoe UI"/>
        <family val="2"/>
      </rPr>
      <t>Ex1</t>
    </r>
    <r>
      <rPr>
        <sz val="10"/>
        <color indexed="8"/>
        <rFont val="Segoe UI"/>
        <family val="2"/>
      </rPr>
      <t>: Conduct vulnerability information sharing between the organization and its suppliers following the rules and protocols defined in contracts</t>
    </r>
    <r>
      <rPr>
        <sz val="10"/>
        <color theme="1"/>
        <rFont val="Segoe UI"/>
        <family val="2"/>
      </rPr>
      <t xml:space="preserve">
</t>
    </r>
    <r>
      <rPr>
        <b/>
        <sz val="10"/>
        <color indexed="8"/>
        <rFont val="Segoe UI"/>
        <family val="2"/>
      </rPr>
      <t>Ex2</t>
    </r>
    <r>
      <rPr>
        <sz val="10"/>
        <color indexed="8"/>
        <rFont val="Segoe UI"/>
        <family val="2"/>
      </rPr>
      <t>: Assign responsibilities and verify the execution of procedures for processing, analyzing the impact of, and responding to cybersecurity threat, vulnerability, or incident disclosures by suppliers, customers, partners, and government cybersecurity organizations</t>
    </r>
  </si>
  <si>
    <r>
      <rPr>
        <b/>
        <sz val="10"/>
        <color indexed="8"/>
        <rFont val="Segoe UI"/>
        <family val="2"/>
      </rPr>
      <t>Ex1</t>
    </r>
    <r>
      <rPr>
        <sz val="10"/>
        <color indexed="8"/>
        <rFont val="Segoe UI"/>
        <family val="2"/>
      </rPr>
      <t>: Assess the authenticity and cybersecurity of critical technology products and services prior to acquisition and use</t>
    </r>
  </si>
  <si>
    <r>
      <rPr>
        <b/>
        <sz val="10"/>
        <color indexed="8"/>
        <rFont val="Segoe UI"/>
        <family val="2"/>
      </rPr>
      <t>Ex1</t>
    </r>
    <r>
      <rPr>
        <sz val="10"/>
        <color indexed="8"/>
        <rFont val="Segoe UI"/>
        <family val="2"/>
      </rPr>
      <t>: Conduct supplier risk assessments against business and applicable cybersecurity requirements, including the supply chain</t>
    </r>
  </si>
  <si>
    <r>
      <rPr>
        <b/>
        <sz val="10"/>
        <color indexed="8"/>
        <rFont val="Segoe UI"/>
        <family val="2"/>
      </rPr>
      <t>Ex1</t>
    </r>
    <r>
      <rPr>
        <sz val="10"/>
        <color indexed="8"/>
        <rFont val="Segoe UI"/>
        <family val="2"/>
      </rPr>
      <t>: Perform self-assessments of critical services that take current threats and TTPs into consideration</t>
    </r>
    <r>
      <rPr>
        <sz val="10"/>
        <color theme="1"/>
        <rFont val="Segoe UI"/>
        <family val="2"/>
      </rPr>
      <t xml:space="preserve">
</t>
    </r>
    <r>
      <rPr>
        <b/>
        <sz val="10"/>
        <color indexed="8"/>
        <rFont val="Segoe UI"/>
        <family val="2"/>
      </rPr>
      <t>Ex2</t>
    </r>
    <r>
      <rPr>
        <sz val="10"/>
        <color indexed="8"/>
        <rFont val="Segoe UI"/>
        <family val="2"/>
      </rPr>
      <t>: Invest in third-party assessments or independent audits of the effectiveness of the organization's cybersecurity program to identify areas that need improvement</t>
    </r>
    <r>
      <rPr>
        <sz val="10"/>
        <color theme="1"/>
        <rFont val="Segoe UI"/>
        <family val="2"/>
      </rPr>
      <t xml:space="preserve">
</t>
    </r>
    <r>
      <rPr>
        <b/>
        <sz val="10"/>
        <color indexed="8"/>
        <rFont val="Segoe UI"/>
        <family val="2"/>
      </rPr>
      <t>Ex3</t>
    </r>
    <r>
      <rPr>
        <sz val="10"/>
        <color indexed="8"/>
        <rFont val="Segoe UI"/>
        <family val="2"/>
      </rPr>
      <t>: Constantly evaluate compliance with selected cybersecurity requirements through automated means</t>
    </r>
  </si>
  <si>
    <r>
      <rPr>
        <b/>
        <sz val="10"/>
        <color indexed="8"/>
        <rFont val="Segoe UI"/>
        <family val="2"/>
      </rPr>
      <t>Ex1</t>
    </r>
    <r>
      <rPr>
        <sz val="10"/>
        <color indexed="8"/>
        <rFont val="Segoe UI"/>
        <family val="2"/>
      </rPr>
      <t>: Identify improvements for future incident response activities based on findings from incident response assessments (e.g., tabletop exercises and simulations, tests, internal reviews, independent audits)</t>
    </r>
    <r>
      <rPr>
        <sz val="10"/>
        <color theme="1"/>
        <rFont val="Segoe UI"/>
        <family val="2"/>
      </rPr>
      <t xml:space="preserve">
</t>
    </r>
    <r>
      <rPr>
        <b/>
        <sz val="10"/>
        <color indexed="8"/>
        <rFont val="Segoe UI"/>
        <family val="2"/>
      </rPr>
      <t>Ex2</t>
    </r>
    <r>
      <rPr>
        <sz val="10"/>
        <color indexed="8"/>
        <rFont val="Segoe UI"/>
        <family val="2"/>
      </rPr>
      <t>: Identify improvements for future business continuity, disaster recovery, and incident response activities based on exercises performed in coordination with critical service providers and product suppliers</t>
    </r>
    <r>
      <rPr>
        <sz val="10"/>
        <color theme="1"/>
        <rFont val="Segoe UI"/>
        <family val="2"/>
      </rPr>
      <t xml:space="preserve">
</t>
    </r>
    <r>
      <rPr>
        <b/>
        <sz val="10"/>
        <color indexed="8"/>
        <rFont val="Segoe UI"/>
        <family val="2"/>
      </rPr>
      <t>Ex3</t>
    </r>
    <r>
      <rPr>
        <sz val="10"/>
        <color indexed="8"/>
        <rFont val="Segoe UI"/>
        <family val="2"/>
      </rPr>
      <t>: Involve internal stakeholders (e.g., senior executives, legal department, HR) in security tests and exercises as appropriate</t>
    </r>
    <r>
      <rPr>
        <sz val="10"/>
        <color theme="1"/>
        <rFont val="Segoe UI"/>
        <family val="2"/>
      </rPr>
      <t xml:space="preserve">
</t>
    </r>
    <r>
      <rPr>
        <b/>
        <sz val="10"/>
        <color indexed="8"/>
        <rFont val="Segoe UI"/>
        <family val="2"/>
      </rPr>
      <t>Ex4</t>
    </r>
    <r>
      <rPr>
        <sz val="10"/>
        <color indexed="8"/>
        <rFont val="Segoe UI"/>
        <family val="2"/>
      </rPr>
      <t>: Perform penetration testing to identify opportunities to improve the security posture of selected high-risk systems as approved by leadership</t>
    </r>
    <r>
      <rPr>
        <sz val="10"/>
        <color theme="1"/>
        <rFont val="Segoe UI"/>
        <family val="2"/>
      </rPr>
      <t xml:space="preserve">
</t>
    </r>
    <r>
      <rPr>
        <b/>
        <sz val="10"/>
        <color indexed="8"/>
        <rFont val="Segoe UI"/>
        <family val="2"/>
      </rPr>
      <t>Ex5</t>
    </r>
    <r>
      <rPr>
        <sz val="10"/>
        <color indexed="8"/>
        <rFont val="Segoe UI"/>
        <family val="2"/>
      </rPr>
      <t>: Exercise contingency plans for responding to and recovering from the discovery that products or services did not originate with the contracted supplier or partner or were altered before receipt</t>
    </r>
    <r>
      <rPr>
        <sz val="10"/>
        <color theme="1"/>
        <rFont val="Segoe UI"/>
        <family val="2"/>
      </rPr>
      <t xml:space="preserve">
</t>
    </r>
    <r>
      <rPr>
        <b/>
        <sz val="10"/>
        <color indexed="8"/>
        <rFont val="Segoe UI"/>
        <family val="2"/>
      </rPr>
      <t>Ex6</t>
    </r>
    <r>
      <rPr>
        <sz val="10"/>
        <color indexed="8"/>
        <rFont val="Segoe UI"/>
        <family val="2"/>
      </rPr>
      <t>: Collect and analyze performance metrics using security tools and services to inform improvements to the cybersecurity program</t>
    </r>
  </si>
  <si>
    <r>
      <rPr>
        <b/>
        <sz val="10"/>
        <color indexed="8"/>
        <rFont val="Segoe UI"/>
        <family val="2"/>
      </rPr>
      <t>Ex1</t>
    </r>
    <r>
      <rPr>
        <sz val="10"/>
        <color indexed="8"/>
        <rFont val="Segoe UI"/>
        <family val="2"/>
      </rPr>
      <t>: Conduct collaborative lessons learned sessions with suppliers</t>
    </r>
    <r>
      <rPr>
        <sz val="10"/>
        <color theme="1"/>
        <rFont val="Segoe UI"/>
        <family val="2"/>
      </rPr>
      <t xml:space="preserve">
</t>
    </r>
    <r>
      <rPr>
        <b/>
        <sz val="10"/>
        <color indexed="8"/>
        <rFont val="Segoe UI"/>
        <family val="2"/>
      </rPr>
      <t>Ex2</t>
    </r>
    <r>
      <rPr>
        <sz val="10"/>
        <color indexed="8"/>
        <rFont val="Segoe UI"/>
        <family val="2"/>
      </rPr>
      <t>: Annually review cybersecurity policies, processes, and procedures to take lessons learned into account</t>
    </r>
    <r>
      <rPr>
        <sz val="10"/>
        <color theme="1"/>
        <rFont val="Segoe UI"/>
        <family val="2"/>
      </rPr>
      <t xml:space="preserve">
</t>
    </r>
    <r>
      <rPr>
        <b/>
        <sz val="10"/>
        <color indexed="8"/>
        <rFont val="Segoe UI"/>
        <family val="2"/>
      </rPr>
      <t>Ex3</t>
    </r>
    <r>
      <rPr>
        <sz val="10"/>
        <color indexed="8"/>
        <rFont val="Segoe UI"/>
        <family val="2"/>
      </rPr>
      <t>: Use metrics to assess operational cybersecurity performance over time</t>
    </r>
  </si>
  <si>
    <r>
      <rPr>
        <b/>
        <sz val="10"/>
        <color indexed="8"/>
        <rFont val="Segoe UI"/>
        <family val="2"/>
      </rPr>
      <t>Ex1</t>
    </r>
    <r>
      <rPr>
        <sz val="10"/>
        <color indexed="8"/>
        <rFont val="Segoe UI"/>
        <family val="2"/>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rPr>
        <sz val="10"/>
        <color theme="1"/>
        <rFont val="Segoe UI"/>
        <family val="2"/>
      </rPr>
      <t xml:space="preserve">
</t>
    </r>
    <r>
      <rPr>
        <b/>
        <sz val="10"/>
        <color indexed="8"/>
        <rFont val="Segoe UI"/>
        <family val="2"/>
      </rPr>
      <t>Ex2</t>
    </r>
    <r>
      <rPr>
        <sz val="10"/>
        <color indexed="8"/>
        <rFont val="Segoe UI"/>
        <family val="2"/>
      </rPr>
      <t>: Include contact and communication information, processes for handling common scenarios, and criteria for prioritization, escalation, and elevation in all contingency plans</t>
    </r>
    <r>
      <rPr>
        <sz val="10"/>
        <color theme="1"/>
        <rFont val="Segoe UI"/>
        <family val="2"/>
      </rPr>
      <t xml:space="preserve">
</t>
    </r>
    <r>
      <rPr>
        <b/>
        <sz val="10"/>
        <color indexed="8"/>
        <rFont val="Segoe UI"/>
        <family val="2"/>
      </rPr>
      <t>Ex3</t>
    </r>
    <r>
      <rPr>
        <sz val="10"/>
        <color indexed="8"/>
        <rFont val="Segoe UI"/>
        <family val="2"/>
      </rPr>
      <t>: Create a vulnerability management plan to identify and assess all types of vulnerabilities and to prioritize, test, and implement risk responses</t>
    </r>
    <r>
      <rPr>
        <sz val="10"/>
        <color theme="1"/>
        <rFont val="Segoe UI"/>
        <family val="2"/>
      </rPr>
      <t xml:space="preserve">
</t>
    </r>
    <r>
      <rPr>
        <b/>
        <sz val="10"/>
        <color indexed="8"/>
        <rFont val="Segoe UI"/>
        <family val="2"/>
      </rPr>
      <t>Ex4</t>
    </r>
    <r>
      <rPr>
        <sz val="10"/>
        <color indexed="8"/>
        <rFont val="Segoe UI"/>
        <family val="2"/>
      </rPr>
      <t>: Communicate cybersecurity plans (including updates) to those responsible for carrying them out and to affected parties</t>
    </r>
    <r>
      <rPr>
        <sz val="10"/>
        <color theme="1"/>
        <rFont val="Segoe UI"/>
        <family val="2"/>
      </rPr>
      <t xml:space="preserve">
</t>
    </r>
    <r>
      <rPr>
        <b/>
        <sz val="10"/>
        <color indexed="8"/>
        <rFont val="Segoe UI"/>
        <family val="2"/>
      </rPr>
      <t>Ex5</t>
    </r>
    <r>
      <rPr>
        <sz val="10"/>
        <color indexed="8"/>
        <rFont val="Segoe UI"/>
        <family val="2"/>
      </rPr>
      <t>: Review and update all cybersecurity plans annually or when a need for significant improvements is identified</t>
    </r>
  </si>
  <si>
    <r>
      <rPr>
        <b/>
        <sz val="10"/>
        <color indexed="8"/>
        <rFont val="Segoe UI"/>
        <family val="2"/>
      </rPr>
      <t>Ex1</t>
    </r>
    <r>
      <rPr>
        <sz val="10"/>
        <color indexed="8"/>
        <rFont val="Segoe UI"/>
        <family val="2"/>
      </rPr>
      <t>: Initiate requests for new access or additional access for employees, contractors, and others, and track, review, and fulfill the requests, with permission from system or data owners when needed</t>
    </r>
    <r>
      <rPr>
        <sz val="10"/>
        <color theme="1"/>
        <rFont val="Segoe UI"/>
        <family val="2"/>
      </rPr>
      <t xml:space="preserve">
</t>
    </r>
    <r>
      <rPr>
        <b/>
        <sz val="10"/>
        <color indexed="8"/>
        <rFont val="Segoe UI"/>
        <family val="2"/>
      </rPr>
      <t>Ex2</t>
    </r>
    <r>
      <rPr>
        <sz val="10"/>
        <color indexed="8"/>
        <rFont val="Segoe UI"/>
        <family val="2"/>
      </rPr>
      <t>: Issue, manage, and revoke cryptographic certificates and identity tokens, cryptographic keys (i.e., key management), and other credentials</t>
    </r>
    <r>
      <rPr>
        <sz val="10"/>
        <color theme="1"/>
        <rFont val="Segoe UI"/>
        <family val="2"/>
      </rPr>
      <t xml:space="preserve">
</t>
    </r>
    <r>
      <rPr>
        <b/>
        <sz val="10"/>
        <color indexed="8"/>
        <rFont val="Segoe UI"/>
        <family val="2"/>
      </rPr>
      <t>Ex3</t>
    </r>
    <r>
      <rPr>
        <sz val="10"/>
        <color indexed="8"/>
        <rFont val="Segoe UI"/>
        <family val="2"/>
      </rPr>
      <t>: Select a unique identifier for each device from immutable hardware characteristics or an identifier securely provisioned to the device</t>
    </r>
    <r>
      <rPr>
        <sz val="10"/>
        <color theme="1"/>
        <rFont val="Segoe UI"/>
        <family val="2"/>
      </rPr>
      <t xml:space="preserve">
</t>
    </r>
    <r>
      <rPr>
        <b/>
        <sz val="10"/>
        <color indexed="8"/>
        <rFont val="Segoe UI"/>
        <family val="2"/>
      </rPr>
      <t>Ex4</t>
    </r>
    <r>
      <rPr>
        <sz val="10"/>
        <color indexed="8"/>
        <rFont val="Segoe UI"/>
        <family val="2"/>
      </rPr>
      <t>: Physically label authorized hardware with an identifier for inventory and servicing purposes</t>
    </r>
  </si>
  <si>
    <r>
      <rPr>
        <b/>
        <sz val="10"/>
        <color indexed="8"/>
        <rFont val="Segoe UI"/>
        <family val="2"/>
      </rPr>
      <t>Ex1</t>
    </r>
    <r>
      <rPr>
        <sz val="10"/>
        <color indexed="8"/>
        <rFont val="Segoe UI"/>
        <family val="2"/>
      </rPr>
      <t>: Verify a person's claimed identity at enrollment time using government-issued identity credentials (e.g., passport, visa, driver's license)</t>
    </r>
    <r>
      <rPr>
        <sz val="10"/>
        <color theme="1"/>
        <rFont val="Segoe UI"/>
        <family val="2"/>
      </rPr>
      <t xml:space="preserve">
</t>
    </r>
    <r>
      <rPr>
        <b/>
        <sz val="10"/>
        <color indexed="8"/>
        <rFont val="Segoe UI"/>
        <family val="2"/>
      </rPr>
      <t>Ex2</t>
    </r>
    <r>
      <rPr>
        <sz val="10"/>
        <color indexed="8"/>
        <rFont val="Segoe UI"/>
        <family val="2"/>
      </rPr>
      <t>: Issue a different credential for each person (i.e., no credential sharing)</t>
    </r>
  </si>
  <si>
    <r>
      <rPr>
        <b/>
        <sz val="10"/>
        <color indexed="8"/>
        <rFont val="Segoe UI"/>
        <family val="2"/>
      </rPr>
      <t>Ex1</t>
    </r>
    <r>
      <rPr>
        <sz val="10"/>
        <color indexed="8"/>
        <rFont val="Segoe UI"/>
        <family val="2"/>
      </rPr>
      <t>: Require multifactor authentication</t>
    </r>
    <r>
      <rPr>
        <sz val="10"/>
        <color theme="1"/>
        <rFont val="Segoe UI"/>
        <family val="2"/>
      </rPr>
      <t xml:space="preserve">
</t>
    </r>
    <r>
      <rPr>
        <b/>
        <sz val="10"/>
        <color indexed="8"/>
        <rFont val="Segoe UI"/>
        <family val="2"/>
      </rPr>
      <t>Ex2</t>
    </r>
    <r>
      <rPr>
        <sz val="10"/>
        <color indexed="8"/>
        <rFont val="Segoe UI"/>
        <family val="2"/>
      </rPr>
      <t>: Enforce policies for the minimum strength of passwords, PINs, and similar authenticators</t>
    </r>
    <r>
      <rPr>
        <sz val="10"/>
        <color theme="1"/>
        <rFont val="Segoe UI"/>
        <family val="2"/>
      </rPr>
      <t xml:space="preserve">
</t>
    </r>
    <r>
      <rPr>
        <b/>
        <sz val="10"/>
        <color indexed="8"/>
        <rFont val="Segoe UI"/>
        <family val="2"/>
      </rPr>
      <t>Ex3</t>
    </r>
    <r>
      <rPr>
        <sz val="10"/>
        <color indexed="8"/>
        <rFont val="Segoe UI"/>
        <family val="2"/>
      </rPr>
      <t>: Periodically reauthenticate users, services, and hardware based on risk (e.g., in zero trust architectures)</t>
    </r>
    <r>
      <rPr>
        <sz val="10"/>
        <color theme="1"/>
        <rFont val="Segoe UI"/>
        <family val="2"/>
      </rPr>
      <t xml:space="preserve">
</t>
    </r>
    <r>
      <rPr>
        <b/>
        <sz val="10"/>
        <color indexed="8"/>
        <rFont val="Segoe UI"/>
        <family val="2"/>
      </rPr>
      <t>Ex4</t>
    </r>
    <r>
      <rPr>
        <sz val="10"/>
        <color indexed="8"/>
        <rFont val="Segoe UI"/>
        <family val="2"/>
      </rPr>
      <t>: Ensure that authorized personnel can access accounts essential for protecting safety under emergency conditions</t>
    </r>
  </si>
  <si>
    <r>
      <rPr>
        <b/>
        <sz val="10"/>
        <color indexed="8"/>
        <rFont val="Segoe UI"/>
        <family val="2"/>
      </rPr>
      <t>Ex1</t>
    </r>
    <r>
      <rPr>
        <sz val="10"/>
        <color indexed="8"/>
        <rFont val="Segoe UI"/>
        <family val="2"/>
      </rPr>
      <t>: Protect identity assertions that are used to convey authentication and user information through single sign-on systems</t>
    </r>
    <r>
      <rPr>
        <sz val="10"/>
        <color theme="1"/>
        <rFont val="Segoe UI"/>
        <family val="2"/>
      </rPr>
      <t xml:space="preserve">
</t>
    </r>
    <r>
      <rPr>
        <b/>
        <sz val="10"/>
        <color indexed="8"/>
        <rFont val="Segoe UI"/>
        <family val="2"/>
      </rPr>
      <t>Ex2</t>
    </r>
    <r>
      <rPr>
        <sz val="10"/>
        <color indexed="8"/>
        <rFont val="Segoe UI"/>
        <family val="2"/>
      </rPr>
      <t>: Protect identity assertions that are used to convey authentication and user information between federated systems</t>
    </r>
    <r>
      <rPr>
        <sz val="10"/>
        <color theme="1"/>
        <rFont val="Segoe UI"/>
        <family val="2"/>
      </rPr>
      <t xml:space="preserve">
</t>
    </r>
    <r>
      <rPr>
        <b/>
        <sz val="10"/>
        <color indexed="8"/>
        <rFont val="Segoe UI"/>
        <family val="2"/>
      </rPr>
      <t>Ex3</t>
    </r>
    <r>
      <rPr>
        <sz val="10"/>
        <color indexed="8"/>
        <rFont val="Segoe UI"/>
        <family val="2"/>
      </rPr>
      <t>: Implement standards-based approaches for identity assertions in all contexts, and follow all guidance for the generation (e.g., data models, metadata), protection (e.g., digital signing, encryption), and verification (e.g., signature validation) of identity assertions</t>
    </r>
  </si>
  <si>
    <r>
      <rPr>
        <b/>
        <sz val="10"/>
        <color indexed="8"/>
        <rFont val="Segoe UI"/>
        <family val="2"/>
      </rPr>
      <t>Ex1</t>
    </r>
    <r>
      <rPr>
        <sz val="10"/>
        <color indexed="8"/>
        <rFont val="Segoe UI"/>
        <family val="2"/>
      </rPr>
      <t>: Review logical and physical access privileges periodically and whenever someone changes roles or leaves the organization, and promptly rescind privileges that are no longer needed</t>
    </r>
    <r>
      <rPr>
        <sz val="10"/>
        <color theme="1"/>
        <rFont val="Segoe UI"/>
        <family val="2"/>
      </rPr>
      <t xml:space="preserve">
</t>
    </r>
    <r>
      <rPr>
        <b/>
        <sz val="10"/>
        <color indexed="8"/>
        <rFont val="Segoe UI"/>
        <family val="2"/>
      </rPr>
      <t>Ex2</t>
    </r>
    <r>
      <rPr>
        <sz val="10"/>
        <color indexed="8"/>
        <rFont val="Segoe UI"/>
        <family val="2"/>
      </rPr>
      <t>: Take attributes of the requester and the requested resource into account for authorization decisions (e.g., geolocation, day/time, requester endpoint's cyber health)</t>
    </r>
    <r>
      <rPr>
        <sz val="10"/>
        <color theme="1"/>
        <rFont val="Segoe UI"/>
        <family val="2"/>
      </rPr>
      <t xml:space="preserve">
</t>
    </r>
    <r>
      <rPr>
        <b/>
        <sz val="10"/>
        <color indexed="8"/>
        <rFont val="Segoe UI"/>
        <family val="2"/>
      </rPr>
      <t>Ex3</t>
    </r>
    <r>
      <rPr>
        <sz val="10"/>
        <color indexed="8"/>
        <rFont val="Segoe UI"/>
        <family val="2"/>
      </rPr>
      <t>: Restrict access and privileges to the minimum necessary (e.g., zero trust architecture)</t>
    </r>
    <r>
      <rPr>
        <sz val="10"/>
        <color theme="1"/>
        <rFont val="Segoe UI"/>
        <family val="2"/>
      </rPr>
      <t xml:space="preserve">
</t>
    </r>
    <r>
      <rPr>
        <b/>
        <sz val="10"/>
        <color indexed="8"/>
        <rFont val="Segoe UI"/>
        <family val="2"/>
      </rPr>
      <t>Ex4</t>
    </r>
    <r>
      <rPr>
        <sz val="10"/>
        <color indexed="8"/>
        <rFont val="Segoe UI"/>
        <family val="2"/>
      </rPr>
      <t>: Periodically review the privileges associated with critical business functions to confirm proper separation of duties</t>
    </r>
  </si>
  <si>
    <r>
      <rPr>
        <b/>
        <sz val="10"/>
        <color indexed="8"/>
        <rFont val="Segoe UI"/>
        <family val="2"/>
      </rPr>
      <t>Ex1</t>
    </r>
    <r>
      <rPr>
        <sz val="10"/>
        <color indexed="8"/>
        <rFont val="Segoe UI"/>
        <family val="2"/>
      </rPr>
      <t>: Use security guards, security cameras, locked entrances, alarm systems, and other physical controls to monitor facilities and restrict access</t>
    </r>
    <r>
      <rPr>
        <sz val="10"/>
        <color theme="1"/>
        <rFont val="Segoe UI"/>
        <family val="2"/>
      </rPr>
      <t xml:space="preserve">
</t>
    </r>
    <r>
      <rPr>
        <b/>
        <sz val="10"/>
        <color indexed="8"/>
        <rFont val="Segoe UI"/>
        <family val="2"/>
      </rPr>
      <t>Ex2</t>
    </r>
    <r>
      <rPr>
        <sz val="10"/>
        <color indexed="8"/>
        <rFont val="Segoe UI"/>
        <family val="2"/>
      </rPr>
      <t>: Employ additional physical security controls for areas that contain high-risk assets</t>
    </r>
    <r>
      <rPr>
        <sz val="10"/>
        <color theme="1"/>
        <rFont val="Segoe UI"/>
        <family val="2"/>
      </rPr>
      <t xml:space="preserve">
</t>
    </r>
    <r>
      <rPr>
        <b/>
        <sz val="10"/>
        <color indexed="8"/>
        <rFont val="Segoe UI"/>
        <family val="2"/>
      </rPr>
      <t>Ex3</t>
    </r>
    <r>
      <rPr>
        <sz val="10"/>
        <color indexed="8"/>
        <rFont val="Segoe UI"/>
        <family val="2"/>
      </rPr>
      <t>: Escort guests, vendors, and other third parties within areas that contain business-critical assets</t>
    </r>
  </si>
  <si>
    <r>
      <rPr>
        <b/>
        <sz val="10"/>
        <color indexed="8"/>
        <rFont val="Segoe UI"/>
        <family val="2"/>
      </rPr>
      <t>Ex1</t>
    </r>
    <r>
      <rPr>
        <sz val="10"/>
        <color indexed="8"/>
        <rFont val="Segoe UI"/>
        <family val="2"/>
      </rPr>
      <t>: Provide basic cybersecurity awareness and training to employees, contractors, partners, suppliers, and all other users of the organization's non-public resources</t>
    </r>
    <r>
      <rPr>
        <sz val="10"/>
        <color theme="1"/>
        <rFont val="Segoe UI"/>
        <family val="2"/>
      </rPr>
      <t xml:space="preserve">
</t>
    </r>
    <r>
      <rPr>
        <b/>
        <sz val="10"/>
        <color indexed="8"/>
        <rFont val="Segoe UI"/>
        <family val="2"/>
      </rPr>
      <t>Ex2</t>
    </r>
    <r>
      <rPr>
        <sz val="10"/>
        <color indexed="8"/>
        <rFont val="Segoe UI"/>
        <family val="2"/>
      </rPr>
      <t>: Train personnel to recognize social engineering attempts and other common attacks, report attacks and suspicious activity, comply with acceptable use policies, and perform basic cyber hygiene tasks (e.g., patching software, choosing passwords, protecting credentials)</t>
    </r>
    <r>
      <rPr>
        <sz val="10"/>
        <color theme="1"/>
        <rFont val="Segoe UI"/>
        <family val="2"/>
      </rPr>
      <t xml:space="preserve">
</t>
    </r>
    <r>
      <rPr>
        <b/>
        <sz val="10"/>
        <color indexed="8"/>
        <rFont val="Segoe UI"/>
        <family val="2"/>
      </rPr>
      <t>Ex3</t>
    </r>
    <r>
      <rPr>
        <sz val="10"/>
        <color indexed="8"/>
        <rFont val="Segoe UI"/>
        <family val="2"/>
      </rPr>
      <t>: Explain the consequences of cybersecurity policy violations, both to individual users and the organization as a whole</t>
    </r>
    <r>
      <rPr>
        <sz val="10"/>
        <color theme="1"/>
        <rFont val="Segoe UI"/>
        <family val="2"/>
      </rPr>
      <t xml:space="preserve">
</t>
    </r>
    <r>
      <rPr>
        <b/>
        <sz val="10"/>
        <color indexed="8"/>
        <rFont val="Segoe UI"/>
        <family val="2"/>
      </rPr>
      <t>Ex4</t>
    </r>
    <r>
      <rPr>
        <sz val="10"/>
        <color indexed="8"/>
        <rFont val="Segoe UI"/>
        <family val="2"/>
      </rPr>
      <t>: Periodically assess or test users on their understanding of basic cybersecurity practices</t>
    </r>
    <r>
      <rPr>
        <sz val="10"/>
        <color theme="1"/>
        <rFont val="Segoe UI"/>
        <family val="2"/>
      </rPr>
      <t xml:space="preserve">
</t>
    </r>
    <r>
      <rPr>
        <b/>
        <sz val="10"/>
        <color indexed="8"/>
        <rFont val="Segoe UI"/>
        <family val="2"/>
      </rPr>
      <t>Ex5</t>
    </r>
    <r>
      <rPr>
        <sz val="10"/>
        <color indexed="8"/>
        <rFont val="Segoe UI"/>
        <family val="2"/>
      </rPr>
      <t>: Require annual refreshers to reinforce existing practices and introduce new practices</t>
    </r>
  </si>
  <si>
    <r>
      <rPr>
        <b/>
        <sz val="10"/>
        <color indexed="8"/>
        <rFont val="Segoe UI"/>
        <family val="2"/>
      </rPr>
      <t>Ex1</t>
    </r>
    <r>
      <rPr>
        <sz val="10"/>
        <color indexed="8"/>
        <rFont val="Segoe UI"/>
        <family val="2"/>
      </rPr>
      <t>: Identify the specialized roles within the organization that require additional cybersecurity training, such as physical and cybersecurity personnel, finance personnel, senior leadership, and anyone with access to business-critical data</t>
    </r>
    <r>
      <rPr>
        <sz val="10"/>
        <color theme="1"/>
        <rFont val="Segoe UI"/>
        <family val="2"/>
      </rPr>
      <t xml:space="preserve">
</t>
    </r>
    <r>
      <rPr>
        <b/>
        <sz val="10"/>
        <color indexed="8"/>
        <rFont val="Segoe UI"/>
        <family val="2"/>
      </rPr>
      <t>Ex2</t>
    </r>
    <r>
      <rPr>
        <sz val="10"/>
        <color indexed="8"/>
        <rFont val="Segoe UI"/>
        <family val="2"/>
      </rPr>
      <t>: Provide role-based cybersecurity awareness and training to all those in specialized roles, including contractors, partners, suppliers, and other third parties</t>
    </r>
    <r>
      <rPr>
        <sz val="10"/>
        <color theme="1"/>
        <rFont val="Segoe UI"/>
        <family val="2"/>
      </rPr>
      <t xml:space="preserve">
</t>
    </r>
    <r>
      <rPr>
        <b/>
        <sz val="10"/>
        <color indexed="8"/>
        <rFont val="Segoe UI"/>
        <family val="2"/>
      </rPr>
      <t>Ex3</t>
    </r>
    <r>
      <rPr>
        <sz val="10"/>
        <color indexed="8"/>
        <rFont val="Segoe UI"/>
        <family val="2"/>
      </rPr>
      <t>: Periodically assess or test users on their understanding of cybersecurity practices for their specialized roles</t>
    </r>
    <r>
      <rPr>
        <sz val="10"/>
        <color theme="1"/>
        <rFont val="Segoe UI"/>
        <family val="2"/>
      </rPr>
      <t xml:space="preserve">
</t>
    </r>
    <r>
      <rPr>
        <b/>
        <sz val="10"/>
        <color indexed="8"/>
        <rFont val="Segoe UI"/>
        <family val="2"/>
      </rPr>
      <t>Ex4</t>
    </r>
    <r>
      <rPr>
        <sz val="10"/>
        <color indexed="8"/>
        <rFont val="Segoe UI"/>
        <family val="2"/>
      </rPr>
      <t>: Require annual refreshers to reinforce existing practices and introduce new practices</t>
    </r>
  </si>
  <si>
    <r>
      <rPr>
        <b/>
        <sz val="10"/>
        <color indexed="8"/>
        <rFont val="Segoe UI"/>
        <family val="2"/>
      </rPr>
      <t>Ex1</t>
    </r>
    <r>
      <rPr>
        <sz val="10"/>
        <color indexed="8"/>
        <rFont val="Segoe UI"/>
        <family val="2"/>
      </rPr>
      <t>: Use encryption, digital signatures, and cryptographic hashes to protect the confidentiality and integrity of stored data in files, databases, virtual machine disk images, container images, and other resources</t>
    </r>
    <r>
      <rPr>
        <sz val="10"/>
        <color theme="1"/>
        <rFont val="Segoe UI"/>
        <family val="2"/>
      </rPr>
      <t xml:space="preserve">
</t>
    </r>
    <r>
      <rPr>
        <b/>
        <sz val="10"/>
        <color indexed="8"/>
        <rFont val="Segoe UI"/>
        <family val="2"/>
      </rPr>
      <t>Ex2</t>
    </r>
    <r>
      <rPr>
        <sz val="10"/>
        <color indexed="8"/>
        <rFont val="Segoe UI"/>
        <family val="2"/>
      </rPr>
      <t>: Use full disk encryption to protect data stored on user endpoints</t>
    </r>
    <r>
      <rPr>
        <sz val="10"/>
        <color theme="1"/>
        <rFont val="Segoe UI"/>
        <family val="2"/>
      </rPr>
      <t xml:space="preserve">
</t>
    </r>
    <r>
      <rPr>
        <b/>
        <sz val="10"/>
        <color indexed="8"/>
        <rFont val="Segoe UI"/>
        <family val="2"/>
      </rPr>
      <t>Ex3</t>
    </r>
    <r>
      <rPr>
        <sz val="10"/>
        <color indexed="8"/>
        <rFont val="Segoe UI"/>
        <family val="2"/>
      </rPr>
      <t>: Confirm the integrity of software by validating signatures</t>
    </r>
    <r>
      <rPr>
        <sz val="10"/>
        <color theme="1"/>
        <rFont val="Segoe UI"/>
        <family val="2"/>
      </rPr>
      <t xml:space="preserve">
</t>
    </r>
    <r>
      <rPr>
        <b/>
        <sz val="10"/>
        <color indexed="8"/>
        <rFont val="Segoe UI"/>
        <family val="2"/>
      </rPr>
      <t>Ex4</t>
    </r>
    <r>
      <rPr>
        <sz val="10"/>
        <color indexed="8"/>
        <rFont val="Segoe UI"/>
        <family val="2"/>
      </rPr>
      <t>: Restrict the use of removable media to prevent data exfiltration</t>
    </r>
    <r>
      <rPr>
        <sz val="10"/>
        <color theme="1"/>
        <rFont val="Segoe UI"/>
        <family val="2"/>
      </rPr>
      <t xml:space="preserve">
</t>
    </r>
    <r>
      <rPr>
        <b/>
        <sz val="10"/>
        <color indexed="8"/>
        <rFont val="Segoe UI"/>
        <family val="2"/>
      </rPr>
      <t>Ex5</t>
    </r>
    <r>
      <rPr>
        <sz val="10"/>
        <color indexed="8"/>
        <rFont val="Segoe UI"/>
        <family val="2"/>
      </rPr>
      <t>: Physically secure removable media containing unencrypted sensitive information, such as within locked offices or file cabinets</t>
    </r>
  </si>
  <si>
    <r>
      <rPr>
        <b/>
        <sz val="10"/>
        <color indexed="8"/>
        <rFont val="Segoe UI"/>
        <family val="2"/>
      </rPr>
      <t>Ex1</t>
    </r>
    <r>
      <rPr>
        <sz val="10"/>
        <color indexed="8"/>
        <rFont val="Segoe UI"/>
        <family val="2"/>
      </rPr>
      <t>: Use encryption, digital signatures, and cryptographic hashes to protect the confidentiality and integrity of network communications</t>
    </r>
    <r>
      <rPr>
        <sz val="10"/>
        <color theme="1"/>
        <rFont val="Segoe UI"/>
        <family val="2"/>
      </rPr>
      <t xml:space="preserve">
</t>
    </r>
    <r>
      <rPr>
        <b/>
        <sz val="10"/>
        <color indexed="8"/>
        <rFont val="Segoe UI"/>
        <family val="2"/>
      </rPr>
      <t>Ex2</t>
    </r>
    <r>
      <rPr>
        <sz val="10"/>
        <color indexed="8"/>
        <rFont val="Segoe UI"/>
        <family val="2"/>
      </rPr>
      <t>: Automatically encrypt or block outbound emails and other communications that contain sensitive data, depending on the data classification</t>
    </r>
    <r>
      <rPr>
        <sz val="10"/>
        <color theme="1"/>
        <rFont val="Segoe UI"/>
        <family val="2"/>
      </rPr>
      <t xml:space="preserve">
</t>
    </r>
    <r>
      <rPr>
        <b/>
        <sz val="10"/>
        <color indexed="8"/>
        <rFont val="Segoe UI"/>
        <family val="2"/>
      </rPr>
      <t>Ex3</t>
    </r>
    <r>
      <rPr>
        <sz val="10"/>
        <color indexed="8"/>
        <rFont val="Segoe UI"/>
        <family val="2"/>
      </rPr>
      <t>: Block access to personal email, file sharing, file storage services, and other personal communications applications and services from organizational systems and networks</t>
    </r>
    <r>
      <rPr>
        <sz val="10"/>
        <color theme="1"/>
        <rFont val="Segoe UI"/>
        <family val="2"/>
      </rPr>
      <t xml:space="preserve">
</t>
    </r>
    <r>
      <rPr>
        <b/>
        <sz val="10"/>
        <color indexed="8"/>
        <rFont val="Segoe UI"/>
        <family val="2"/>
      </rPr>
      <t>Ex4</t>
    </r>
    <r>
      <rPr>
        <sz val="10"/>
        <color indexed="8"/>
        <rFont val="Segoe UI"/>
        <family val="2"/>
      </rPr>
      <t>: Prevent reuse of sensitive data from production environments (e.g., customer records) in development, testing, and other non-production environments</t>
    </r>
  </si>
  <si>
    <r>
      <rPr>
        <b/>
        <sz val="10"/>
        <color indexed="8"/>
        <rFont val="Segoe UI"/>
        <family val="2"/>
      </rPr>
      <t>Ex1</t>
    </r>
    <r>
      <rPr>
        <sz val="10"/>
        <color indexed="8"/>
        <rFont val="Segoe UI"/>
        <family val="2"/>
      </rPr>
      <t>: Remove data that must remain confidential (e.g., from processors and memory) as soon as it is no longer needed</t>
    </r>
    <r>
      <rPr>
        <sz val="10"/>
        <color theme="1"/>
        <rFont val="Segoe UI"/>
        <family val="2"/>
      </rPr>
      <t xml:space="preserve">
</t>
    </r>
    <r>
      <rPr>
        <b/>
        <sz val="10"/>
        <color indexed="8"/>
        <rFont val="Segoe UI"/>
        <family val="2"/>
      </rPr>
      <t>Ex2</t>
    </r>
    <r>
      <rPr>
        <sz val="10"/>
        <color indexed="8"/>
        <rFont val="Segoe UI"/>
        <family val="2"/>
      </rPr>
      <t>: Protect data in use from access by other users and processes of the same platform</t>
    </r>
  </si>
  <si>
    <r>
      <rPr>
        <b/>
        <sz val="10"/>
        <color indexed="8"/>
        <rFont val="Segoe UI"/>
        <family val="2"/>
      </rPr>
      <t>Ex1</t>
    </r>
    <r>
      <rPr>
        <sz val="10"/>
        <color indexed="8"/>
        <rFont val="Segoe UI"/>
        <family val="2"/>
      </rPr>
      <t>: Continuously back up critical data in near-real-time, and back up other data frequently at agreed-upon schedules</t>
    </r>
    <r>
      <rPr>
        <sz val="10"/>
        <color theme="1"/>
        <rFont val="Segoe UI"/>
        <family val="2"/>
      </rPr>
      <t xml:space="preserve">
</t>
    </r>
    <r>
      <rPr>
        <b/>
        <sz val="10"/>
        <color indexed="8"/>
        <rFont val="Segoe UI"/>
        <family val="2"/>
      </rPr>
      <t>Ex2</t>
    </r>
    <r>
      <rPr>
        <sz val="10"/>
        <color indexed="8"/>
        <rFont val="Segoe UI"/>
        <family val="2"/>
      </rPr>
      <t>: Test backups and restores for all types of data sources at least annually</t>
    </r>
    <r>
      <rPr>
        <sz val="10"/>
        <color theme="1"/>
        <rFont val="Segoe UI"/>
        <family val="2"/>
      </rPr>
      <t xml:space="preserve">
</t>
    </r>
    <r>
      <rPr>
        <b/>
        <sz val="10"/>
        <color indexed="8"/>
        <rFont val="Segoe UI"/>
        <family val="2"/>
      </rPr>
      <t>Ex3</t>
    </r>
    <r>
      <rPr>
        <sz val="10"/>
        <color indexed="8"/>
        <rFont val="Segoe UI"/>
        <family val="2"/>
      </rPr>
      <t>: Securely store some backups offline and offsite so that an incident or disaster will not damage them</t>
    </r>
    <r>
      <rPr>
        <sz val="10"/>
        <color theme="1"/>
        <rFont val="Segoe UI"/>
        <family val="2"/>
      </rPr>
      <t xml:space="preserve">
</t>
    </r>
    <r>
      <rPr>
        <b/>
        <sz val="10"/>
        <color indexed="8"/>
        <rFont val="Segoe UI"/>
        <family val="2"/>
      </rPr>
      <t>Ex4</t>
    </r>
    <r>
      <rPr>
        <sz val="10"/>
        <color indexed="8"/>
        <rFont val="Segoe UI"/>
        <family val="2"/>
      </rPr>
      <t>: Enforce geographic separation and geolocation restrictions for data backup storage</t>
    </r>
  </si>
  <si>
    <r>
      <rPr>
        <b/>
        <sz val="10"/>
        <color indexed="8"/>
        <rFont val="Segoe UI"/>
        <family val="2"/>
      </rPr>
      <t>Ex1</t>
    </r>
    <r>
      <rPr>
        <sz val="10"/>
        <color indexed="8"/>
        <rFont val="Segoe UI"/>
        <family val="2"/>
      </rPr>
      <t>: Establish, test, deploy, and maintain hardened baselines that enforce the organization's cybersecurity policies and provide only essential capabilities (i.e., principle of least functionality)</t>
    </r>
    <r>
      <rPr>
        <sz val="10"/>
        <color theme="1"/>
        <rFont val="Segoe UI"/>
        <family val="2"/>
      </rPr>
      <t xml:space="preserve">
</t>
    </r>
    <r>
      <rPr>
        <b/>
        <sz val="10"/>
        <color indexed="8"/>
        <rFont val="Segoe UI"/>
        <family val="2"/>
      </rPr>
      <t>Ex2</t>
    </r>
    <r>
      <rPr>
        <sz val="10"/>
        <color indexed="8"/>
        <rFont val="Segoe UI"/>
        <family val="2"/>
      </rPr>
      <t>: Review all default configuration settings that may potentially impact cybersecurity when installing or upgrading software</t>
    </r>
    <r>
      <rPr>
        <sz val="10"/>
        <color theme="1"/>
        <rFont val="Segoe UI"/>
        <family val="2"/>
      </rPr>
      <t xml:space="preserve">
</t>
    </r>
    <r>
      <rPr>
        <b/>
        <sz val="10"/>
        <color indexed="8"/>
        <rFont val="Segoe UI"/>
        <family val="2"/>
      </rPr>
      <t>Ex3</t>
    </r>
    <r>
      <rPr>
        <sz val="10"/>
        <color indexed="8"/>
        <rFont val="Segoe UI"/>
        <family val="2"/>
      </rPr>
      <t>: Monitor implemented software for deviations from approved baselines</t>
    </r>
  </si>
  <si>
    <r>
      <rPr>
        <b/>
        <sz val="10"/>
        <color indexed="8"/>
        <rFont val="Segoe UI"/>
        <family val="2"/>
      </rPr>
      <t>Ex1</t>
    </r>
    <r>
      <rPr>
        <sz val="10"/>
        <color indexed="8"/>
        <rFont val="Segoe UI"/>
        <family val="2"/>
      </rPr>
      <t>: Perform routine and emergency patching within the timeframes specified in the vulnerability management plan</t>
    </r>
    <r>
      <rPr>
        <sz val="10"/>
        <color theme="1"/>
        <rFont val="Segoe UI"/>
        <family val="2"/>
      </rPr>
      <t xml:space="preserve">
</t>
    </r>
    <r>
      <rPr>
        <b/>
        <sz val="10"/>
        <color indexed="8"/>
        <rFont val="Segoe UI"/>
        <family val="2"/>
      </rPr>
      <t>Ex2</t>
    </r>
    <r>
      <rPr>
        <sz val="10"/>
        <color indexed="8"/>
        <rFont val="Segoe UI"/>
        <family val="2"/>
      </rPr>
      <t>: Update container images, and deploy new container instances to replace rather than update existing instances</t>
    </r>
    <r>
      <rPr>
        <sz val="10"/>
        <color theme="1"/>
        <rFont val="Segoe UI"/>
        <family val="2"/>
      </rPr>
      <t xml:space="preserve">
</t>
    </r>
    <r>
      <rPr>
        <b/>
        <sz val="10"/>
        <color indexed="8"/>
        <rFont val="Segoe UI"/>
        <family val="2"/>
      </rPr>
      <t>Ex3</t>
    </r>
    <r>
      <rPr>
        <sz val="10"/>
        <color indexed="8"/>
        <rFont val="Segoe UI"/>
        <family val="2"/>
      </rPr>
      <t>: Replace end-of-life software and service versions with supported, maintained versions</t>
    </r>
    <r>
      <rPr>
        <sz val="10"/>
        <color theme="1"/>
        <rFont val="Segoe UI"/>
        <family val="2"/>
      </rPr>
      <t xml:space="preserve">
</t>
    </r>
    <r>
      <rPr>
        <b/>
        <sz val="10"/>
        <color indexed="8"/>
        <rFont val="Segoe UI"/>
        <family val="2"/>
      </rPr>
      <t>Ex4</t>
    </r>
    <r>
      <rPr>
        <sz val="10"/>
        <color indexed="8"/>
        <rFont val="Segoe UI"/>
        <family val="2"/>
      </rPr>
      <t>: Uninstall and remove unauthorized software and services that pose undue risks</t>
    </r>
    <r>
      <rPr>
        <sz val="10"/>
        <color theme="1"/>
        <rFont val="Segoe UI"/>
        <family val="2"/>
      </rPr>
      <t xml:space="preserve">
</t>
    </r>
    <r>
      <rPr>
        <b/>
        <sz val="10"/>
        <color indexed="8"/>
        <rFont val="Segoe UI"/>
        <family val="2"/>
      </rPr>
      <t>Ex5</t>
    </r>
    <r>
      <rPr>
        <sz val="10"/>
        <color indexed="8"/>
        <rFont val="Segoe UI"/>
        <family val="2"/>
      </rPr>
      <t>: Uninstall and remove any unnecessary software components (e.g., operating system utilities) that attackers might misuse</t>
    </r>
    <r>
      <rPr>
        <sz val="10"/>
        <color theme="1"/>
        <rFont val="Segoe UI"/>
        <family val="2"/>
      </rPr>
      <t xml:space="preserve">
</t>
    </r>
    <r>
      <rPr>
        <b/>
        <sz val="10"/>
        <color indexed="8"/>
        <rFont val="Segoe UI"/>
        <family val="2"/>
      </rPr>
      <t>Ex6</t>
    </r>
    <r>
      <rPr>
        <sz val="10"/>
        <color indexed="8"/>
        <rFont val="Segoe UI"/>
        <family val="2"/>
      </rPr>
      <t>: Define and implement plans for software and service end-of-life maintenance support and obsolescence</t>
    </r>
  </si>
  <si>
    <r>
      <rPr>
        <b/>
        <sz val="10"/>
        <color indexed="8"/>
        <rFont val="Segoe UI"/>
        <family val="2"/>
      </rPr>
      <t>Ex1</t>
    </r>
    <r>
      <rPr>
        <sz val="10"/>
        <color indexed="8"/>
        <rFont val="Segoe UI"/>
        <family val="2"/>
      </rPr>
      <t>: Replace hardware when it lacks needed security capabilities or when it cannot support software with needed security capabilities</t>
    </r>
    <r>
      <rPr>
        <sz val="10"/>
        <color theme="1"/>
        <rFont val="Segoe UI"/>
        <family val="2"/>
      </rPr>
      <t xml:space="preserve">
</t>
    </r>
    <r>
      <rPr>
        <b/>
        <sz val="10"/>
        <color indexed="8"/>
        <rFont val="Segoe UI"/>
        <family val="2"/>
      </rPr>
      <t>Ex2</t>
    </r>
    <r>
      <rPr>
        <sz val="10"/>
        <color indexed="8"/>
        <rFont val="Segoe UI"/>
        <family val="2"/>
      </rPr>
      <t>: Define and implement plans for hardware end-of-life maintenance support and obsolescence</t>
    </r>
    <r>
      <rPr>
        <sz val="10"/>
        <color theme="1"/>
        <rFont val="Segoe UI"/>
        <family val="2"/>
      </rPr>
      <t xml:space="preserve">
</t>
    </r>
    <r>
      <rPr>
        <b/>
        <sz val="10"/>
        <color indexed="8"/>
        <rFont val="Segoe UI"/>
        <family val="2"/>
      </rPr>
      <t>Ex3</t>
    </r>
    <r>
      <rPr>
        <sz val="10"/>
        <color indexed="8"/>
        <rFont val="Segoe UI"/>
        <family val="2"/>
      </rPr>
      <t>: Perform hardware disposal in a secure, responsible, and auditable manner</t>
    </r>
  </si>
  <si>
    <r>
      <rPr>
        <b/>
        <sz val="10"/>
        <color indexed="8"/>
        <rFont val="Segoe UI"/>
        <family val="2"/>
      </rPr>
      <t>Ex1</t>
    </r>
    <r>
      <rPr>
        <sz val="10"/>
        <color indexed="8"/>
        <rFont val="Segoe UI"/>
        <family val="2"/>
      </rPr>
      <t>: Configure all operating systems, applications, and services (including cloud-based services) to generate log records</t>
    </r>
    <r>
      <rPr>
        <sz val="10"/>
        <color theme="1"/>
        <rFont val="Segoe UI"/>
        <family val="2"/>
      </rPr>
      <t xml:space="preserve">
</t>
    </r>
    <r>
      <rPr>
        <b/>
        <sz val="10"/>
        <color indexed="8"/>
        <rFont val="Segoe UI"/>
        <family val="2"/>
      </rPr>
      <t>Ex2</t>
    </r>
    <r>
      <rPr>
        <sz val="10"/>
        <color indexed="8"/>
        <rFont val="Segoe UI"/>
        <family val="2"/>
      </rPr>
      <t>: Configure log generators to securely share their logs with the organization's logging infrastructure systems and services</t>
    </r>
    <r>
      <rPr>
        <sz val="10"/>
        <color theme="1"/>
        <rFont val="Segoe UI"/>
        <family val="2"/>
      </rPr>
      <t xml:space="preserve">
</t>
    </r>
    <r>
      <rPr>
        <b/>
        <sz val="10"/>
        <color indexed="8"/>
        <rFont val="Segoe UI"/>
        <family val="2"/>
      </rPr>
      <t>Ex3</t>
    </r>
    <r>
      <rPr>
        <sz val="10"/>
        <color indexed="8"/>
        <rFont val="Segoe UI"/>
        <family val="2"/>
      </rPr>
      <t>: Configure log generators to record the data needed by zero-trust architectures</t>
    </r>
  </si>
  <si>
    <r>
      <rPr>
        <b/>
        <sz val="10"/>
        <color indexed="8"/>
        <rFont val="Segoe UI"/>
        <family val="2"/>
      </rPr>
      <t>Ex1</t>
    </r>
    <r>
      <rPr>
        <sz val="10"/>
        <color indexed="8"/>
        <rFont val="Segoe UI"/>
        <family val="2"/>
      </rPr>
      <t>: When risk warrants it, restrict software execution to permitted products only or deny the execution of prohibited and unauthorized software</t>
    </r>
    <r>
      <rPr>
        <sz val="10"/>
        <color theme="1"/>
        <rFont val="Segoe UI"/>
        <family val="2"/>
      </rPr>
      <t xml:space="preserve">
</t>
    </r>
    <r>
      <rPr>
        <b/>
        <sz val="10"/>
        <color indexed="8"/>
        <rFont val="Segoe UI"/>
        <family val="2"/>
      </rPr>
      <t>Ex2</t>
    </r>
    <r>
      <rPr>
        <sz val="10"/>
        <color indexed="8"/>
        <rFont val="Segoe UI"/>
        <family val="2"/>
      </rPr>
      <t>: Verify the source of new software and the software's integrity before installing it</t>
    </r>
    <r>
      <rPr>
        <sz val="10"/>
        <color theme="1"/>
        <rFont val="Segoe UI"/>
        <family val="2"/>
      </rPr>
      <t xml:space="preserve">
</t>
    </r>
    <r>
      <rPr>
        <b/>
        <sz val="10"/>
        <color indexed="8"/>
        <rFont val="Segoe UI"/>
        <family val="2"/>
      </rPr>
      <t>Ex3</t>
    </r>
    <r>
      <rPr>
        <sz val="10"/>
        <color indexed="8"/>
        <rFont val="Segoe UI"/>
        <family val="2"/>
      </rPr>
      <t>: Configure platforms to use only approved DNS services that block access to known malicious domains</t>
    </r>
    <r>
      <rPr>
        <sz val="10"/>
        <color theme="1"/>
        <rFont val="Segoe UI"/>
        <family val="2"/>
      </rPr>
      <t xml:space="preserve">
</t>
    </r>
    <r>
      <rPr>
        <b/>
        <sz val="10"/>
        <color indexed="8"/>
        <rFont val="Segoe UI"/>
        <family val="2"/>
      </rPr>
      <t>Ex4</t>
    </r>
    <r>
      <rPr>
        <sz val="10"/>
        <color indexed="8"/>
        <rFont val="Segoe UI"/>
        <family val="2"/>
      </rPr>
      <t>: Configure platforms to allow the installation of organization-approved software only</t>
    </r>
  </si>
  <si>
    <r>
      <rPr>
        <b/>
        <sz val="10"/>
        <color indexed="8"/>
        <rFont val="Segoe UI"/>
        <family val="2"/>
      </rPr>
      <t>Ex1</t>
    </r>
    <r>
      <rPr>
        <sz val="10"/>
        <color indexed="8"/>
        <rFont val="Segoe UI"/>
        <family val="2"/>
      </rPr>
      <t>: Protect all components of organization-developed software from tampering and unauthorized access</t>
    </r>
    <r>
      <rPr>
        <sz val="10"/>
        <color theme="1"/>
        <rFont val="Segoe UI"/>
        <family val="2"/>
      </rPr>
      <t xml:space="preserve">
</t>
    </r>
    <r>
      <rPr>
        <b/>
        <sz val="10"/>
        <color indexed="8"/>
        <rFont val="Segoe UI"/>
        <family val="2"/>
      </rPr>
      <t>Ex2</t>
    </r>
    <r>
      <rPr>
        <sz val="10"/>
        <color indexed="8"/>
        <rFont val="Segoe UI"/>
        <family val="2"/>
      </rPr>
      <t>: Secure all software produced by the organization, with minimal vulnerabilities in their releases</t>
    </r>
    <r>
      <rPr>
        <sz val="10"/>
        <color theme="1"/>
        <rFont val="Segoe UI"/>
        <family val="2"/>
      </rPr>
      <t xml:space="preserve">
</t>
    </r>
    <r>
      <rPr>
        <b/>
        <sz val="10"/>
        <color indexed="8"/>
        <rFont val="Segoe UI"/>
        <family val="2"/>
      </rPr>
      <t>Ex3</t>
    </r>
    <r>
      <rPr>
        <sz val="10"/>
        <color indexed="8"/>
        <rFont val="Segoe UI"/>
        <family val="2"/>
      </rPr>
      <t>: Maintain the software used in production environments, and securely dispose of software once it is no longer needed</t>
    </r>
  </si>
  <si>
    <r>
      <rPr>
        <b/>
        <sz val="10"/>
        <color indexed="8"/>
        <rFont val="Segoe UI"/>
        <family val="2"/>
      </rPr>
      <t>Ex1</t>
    </r>
    <r>
      <rPr>
        <sz val="10"/>
        <color indexed="8"/>
        <rFont val="Segoe UI"/>
        <family val="2"/>
      </rPr>
      <t>: Logically segment organization networks and cloud-based platforms according to trust boundaries and platform types (e.g., IT, IoT, OT, mobile, guests), and permit required communications only between segments</t>
    </r>
    <r>
      <rPr>
        <sz val="10"/>
        <color theme="1"/>
        <rFont val="Segoe UI"/>
        <family val="2"/>
      </rPr>
      <t xml:space="preserve">
</t>
    </r>
    <r>
      <rPr>
        <b/>
        <sz val="10"/>
        <color indexed="8"/>
        <rFont val="Segoe UI"/>
        <family val="2"/>
      </rPr>
      <t>Ex2</t>
    </r>
    <r>
      <rPr>
        <sz val="10"/>
        <color indexed="8"/>
        <rFont val="Segoe UI"/>
        <family val="2"/>
      </rPr>
      <t>: Logically segment organization networks from external networks, and permit only necessary communications to enter the organization's networks from the external networks</t>
    </r>
    <r>
      <rPr>
        <sz val="10"/>
        <color theme="1"/>
        <rFont val="Segoe UI"/>
        <family val="2"/>
      </rPr>
      <t xml:space="preserve">
</t>
    </r>
    <r>
      <rPr>
        <b/>
        <sz val="10"/>
        <color indexed="8"/>
        <rFont val="Segoe UI"/>
        <family val="2"/>
      </rPr>
      <t>Ex3</t>
    </r>
    <r>
      <rPr>
        <sz val="10"/>
        <color indexed="8"/>
        <rFont val="Segoe UI"/>
        <family val="2"/>
      </rPr>
      <t>: Implement zero trust architectures to restrict network access to each resource to the minimum necessary</t>
    </r>
    <r>
      <rPr>
        <sz val="10"/>
        <color theme="1"/>
        <rFont val="Segoe UI"/>
        <family val="2"/>
      </rPr>
      <t xml:space="preserve">
</t>
    </r>
    <r>
      <rPr>
        <b/>
        <sz val="10"/>
        <color indexed="8"/>
        <rFont val="Segoe UI"/>
        <family val="2"/>
      </rPr>
      <t>Ex4</t>
    </r>
    <r>
      <rPr>
        <sz val="10"/>
        <color indexed="8"/>
        <rFont val="Segoe UI"/>
        <family val="2"/>
      </rPr>
      <t>: Check the cyber health of endpoints before allowing them to access and use production resources</t>
    </r>
  </si>
  <si>
    <r>
      <rPr>
        <b/>
        <sz val="10"/>
        <color indexed="8"/>
        <rFont val="Segoe UI"/>
        <family val="2"/>
      </rPr>
      <t>Ex1</t>
    </r>
    <r>
      <rPr>
        <sz val="10"/>
        <color indexed="8"/>
        <rFont val="Segoe UI"/>
        <family val="2"/>
      </rPr>
      <t>: Protect organizational equipment from known environmental threats, such as flooding, fire, wind, and excessive heat and humidity</t>
    </r>
    <r>
      <rPr>
        <sz val="10"/>
        <color theme="1"/>
        <rFont val="Segoe UI"/>
        <family val="2"/>
      </rPr>
      <t xml:space="preserve">
</t>
    </r>
    <r>
      <rPr>
        <b/>
        <sz val="10"/>
        <color indexed="8"/>
        <rFont val="Segoe UI"/>
        <family val="2"/>
      </rPr>
      <t>Ex2</t>
    </r>
    <r>
      <rPr>
        <sz val="10"/>
        <color indexed="8"/>
        <rFont val="Segoe UI"/>
        <family val="2"/>
      </rPr>
      <t>: Include protection from environmental threats and provisions for adequate operating infrastructure in requirements for service providers that operate systems on the organization's behalf</t>
    </r>
  </si>
  <si>
    <r>
      <rPr>
        <b/>
        <sz val="10"/>
        <color indexed="8"/>
        <rFont val="Segoe UI"/>
        <family val="2"/>
      </rPr>
      <t>Ex1</t>
    </r>
    <r>
      <rPr>
        <sz val="10"/>
        <color indexed="8"/>
        <rFont val="Segoe UI"/>
        <family val="2"/>
      </rPr>
      <t>: Avoid single points of failure in systems and infrastructure</t>
    </r>
    <r>
      <rPr>
        <sz val="10"/>
        <color theme="1"/>
        <rFont val="Segoe UI"/>
        <family val="2"/>
      </rPr>
      <t xml:space="preserve">
</t>
    </r>
    <r>
      <rPr>
        <b/>
        <sz val="10"/>
        <color indexed="8"/>
        <rFont val="Segoe UI"/>
        <family val="2"/>
      </rPr>
      <t>Ex2</t>
    </r>
    <r>
      <rPr>
        <sz val="10"/>
        <color indexed="8"/>
        <rFont val="Segoe UI"/>
        <family val="2"/>
      </rPr>
      <t>: Use load balancing to increase capacity and improve reliability</t>
    </r>
    <r>
      <rPr>
        <sz val="10"/>
        <color theme="1"/>
        <rFont val="Segoe UI"/>
        <family val="2"/>
      </rPr>
      <t xml:space="preserve">
</t>
    </r>
    <r>
      <rPr>
        <b/>
        <sz val="10"/>
        <color indexed="8"/>
        <rFont val="Segoe UI"/>
        <family val="2"/>
      </rPr>
      <t>Ex3</t>
    </r>
    <r>
      <rPr>
        <sz val="10"/>
        <color indexed="8"/>
        <rFont val="Segoe UI"/>
        <family val="2"/>
      </rPr>
      <t>: Use high-availability components like redundant storage and power supplies to improve system reliability</t>
    </r>
  </si>
  <si>
    <r>
      <rPr>
        <b/>
        <sz val="10"/>
        <color indexed="8"/>
        <rFont val="Segoe UI"/>
        <family val="2"/>
      </rPr>
      <t>Ex1</t>
    </r>
    <r>
      <rPr>
        <sz val="10"/>
        <color indexed="8"/>
        <rFont val="Segoe UI"/>
        <family val="2"/>
      </rPr>
      <t>: Monitor usage of storage, power, compute, network bandwidth, and other resources</t>
    </r>
    <r>
      <rPr>
        <sz val="10"/>
        <color theme="1"/>
        <rFont val="Segoe UI"/>
        <family val="2"/>
      </rPr>
      <t xml:space="preserve">
</t>
    </r>
    <r>
      <rPr>
        <b/>
        <sz val="10"/>
        <color indexed="8"/>
        <rFont val="Segoe UI"/>
        <family val="2"/>
      </rPr>
      <t>Ex2</t>
    </r>
    <r>
      <rPr>
        <sz val="10"/>
        <color indexed="8"/>
        <rFont val="Segoe UI"/>
        <family val="2"/>
      </rPr>
      <t>: Forecast future needs, and scale resources accordingly</t>
    </r>
  </si>
  <si>
    <r>
      <rPr>
        <b/>
        <sz val="10"/>
        <color indexed="8"/>
        <rFont val="Segoe UI"/>
        <family val="2"/>
      </rPr>
      <t>Ex1</t>
    </r>
    <r>
      <rPr>
        <sz val="10"/>
        <color indexed="8"/>
        <rFont val="Segoe UI"/>
        <family val="2"/>
      </rPr>
      <t>: Monitor DNS, BGP, and other network services for adverse events</t>
    </r>
    <r>
      <rPr>
        <sz val="10"/>
        <color theme="1"/>
        <rFont val="Segoe UI"/>
        <family val="2"/>
      </rPr>
      <t xml:space="preserve">
</t>
    </r>
    <r>
      <rPr>
        <b/>
        <sz val="10"/>
        <color indexed="8"/>
        <rFont val="Segoe UI"/>
        <family val="2"/>
      </rPr>
      <t>Ex2</t>
    </r>
    <r>
      <rPr>
        <sz val="10"/>
        <color indexed="8"/>
        <rFont val="Segoe UI"/>
        <family val="2"/>
      </rPr>
      <t>: Monitor wired and wireless networks for connections from unauthorized endpoints</t>
    </r>
    <r>
      <rPr>
        <sz val="10"/>
        <color theme="1"/>
        <rFont val="Segoe UI"/>
        <family val="2"/>
      </rPr>
      <t xml:space="preserve">
</t>
    </r>
    <r>
      <rPr>
        <b/>
        <sz val="10"/>
        <color indexed="8"/>
        <rFont val="Segoe UI"/>
        <family val="2"/>
      </rPr>
      <t>Ex3</t>
    </r>
    <r>
      <rPr>
        <sz val="10"/>
        <color indexed="8"/>
        <rFont val="Segoe UI"/>
        <family val="2"/>
      </rPr>
      <t>: Monitor facilities for unauthorized or rogue wireless networks</t>
    </r>
    <r>
      <rPr>
        <sz val="10"/>
        <color theme="1"/>
        <rFont val="Segoe UI"/>
        <family val="2"/>
      </rPr>
      <t xml:space="preserve">
</t>
    </r>
    <r>
      <rPr>
        <b/>
        <sz val="10"/>
        <color indexed="8"/>
        <rFont val="Segoe UI"/>
        <family val="2"/>
      </rPr>
      <t>Ex4</t>
    </r>
    <r>
      <rPr>
        <sz val="10"/>
        <color indexed="8"/>
        <rFont val="Segoe UI"/>
        <family val="2"/>
      </rPr>
      <t>: Compare actual network flows against baselines to detect deviations</t>
    </r>
    <r>
      <rPr>
        <sz val="10"/>
        <color theme="1"/>
        <rFont val="Segoe UI"/>
        <family val="2"/>
      </rPr>
      <t xml:space="preserve">
</t>
    </r>
    <r>
      <rPr>
        <b/>
        <sz val="10"/>
        <color indexed="8"/>
        <rFont val="Segoe UI"/>
        <family val="2"/>
      </rPr>
      <t>Ex5</t>
    </r>
    <r>
      <rPr>
        <sz val="10"/>
        <color indexed="8"/>
        <rFont val="Segoe UI"/>
        <family val="2"/>
      </rPr>
      <t>: Monitor network communications to identify changes in security postures for zero trust purposes</t>
    </r>
  </si>
  <si>
    <r>
      <rPr>
        <b/>
        <sz val="10"/>
        <color indexed="8"/>
        <rFont val="Segoe UI"/>
        <family val="2"/>
      </rPr>
      <t>Ex1</t>
    </r>
    <r>
      <rPr>
        <sz val="10"/>
        <color indexed="8"/>
        <rFont val="Segoe UI"/>
        <family val="2"/>
      </rPr>
      <t>: Monitor logs from physical access control systems (e.g., badge readers) to find unusual access patterns (e.g., deviations from the norm) and failed access attempts</t>
    </r>
    <r>
      <rPr>
        <sz val="10"/>
        <color theme="1"/>
        <rFont val="Segoe UI"/>
        <family val="2"/>
      </rPr>
      <t xml:space="preserve">
</t>
    </r>
    <r>
      <rPr>
        <b/>
        <sz val="10"/>
        <color indexed="8"/>
        <rFont val="Segoe UI"/>
        <family val="2"/>
      </rPr>
      <t>Ex2</t>
    </r>
    <r>
      <rPr>
        <sz val="10"/>
        <color indexed="8"/>
        <rFont val="Segoe UI"/>
        <family val="2"/>
      </rPr>
      <t>: Review and monitor physical access records (e.g., from visitor registration, sign-in sheets)</t>
    </r>
    <r>
      <rPr>
        <sz val="10"/>
        <color theme="1"/>
        <rFont val="Segoe UI"/>
        <family val="2"/>
      </rPr>
      <t xml:space="preserve">
</t>
    </r>
    <r>
      <rPr>
        <b/>
        <sz val="10"/>
        <color indexed="8"/>
        <rFont val="Segoe UI"/>
        <family val="2"/>
      </rPr>
      <t>Ex3</t>
    </r>
    <r>
      <rPr>
        <sz val="10"/>
        <color indexed="8"/>
        <rFont val="Segoe UI"/>
        <family val="2"/>
      </rPr>
      <t>: Monitor physical access controls (e.g., locks, latches, hinge pins, alarms) for signs of tampering</t>
    </r>
    <r>
      <rPr>
        <sz val="10"/>
        <color theme="1"/>
        <rFont val="Segoe UI"/>
        <family val="2"/>
      </rPr>
      <t xml:space="preserve">
</t>
    </r>
    <r>
      <rPr>
        <b/>
        <sz val="10"/>
        <color indexed="8"/>
        <rFont val="Segoe UI"/>
        <family val="2"/>
      </rPr>
      <t>Ex4</t>
    </r>
    <r>
      <rPr>
        <sz val="10"/>
        <color indexed="8"/>
        <rFont val="Segoe UI"/>
        <family val="2"/>
      </rPr>
      <t>: Monitor the physical environment using alarm systems, cameras, and security guards</t>
    </r>
  </si>
  <si>
    <r>
      <rPr>
        <b/>
        <sz val="10"/>
        <color indexed="8"/>
        <rFont val="Segoe UI"/>
        <family val="2"/>
      </rPr>
      <t>Ex1</t>
    </r>
    <r>
      <rPr>
        <sz val="10"/>
        <color indexed="8"/>
        <rFont val="Segoe UI"/>
        <family val="2"/>
      </rPr>
      <t>: Use behavior analytics software to detect anomalous user activity to mitigate insider threats</t>
    </r>
    <r>
      <rPr>
        <sz val="10"/>
        <color theme="1"/>
        <rFont val="Segoe UI"/>
        <family val="2"/>
      </rPr>
      <t xml:space="preserve">
</t>
    </r>
    <r>
      <rPr>
        <b/>
        <sz val="10"/>
        <color indexed="8"/>
        <rFont val="Segoe UI"/>
        <family val="2"/>
      </rPr>
      <t>Ex2</t>
    </r>
    <r>
      <rPr>
        <sz val="10"/>
        <color indexed="8"/>
        <rFont val="Segoe UI"/>
        <family val="2"/>
      </rPr>
      <t>: Monitor logs from logical access control systems to find unusual access patterns and failed access attempts</t>
    </r>
    <r>
      <rPr>
        <sz val="10"/>
        <color theme="1"/>
        <rFont val="Segoe UI"/>
        <family val="2"/>
      </rPr>
      <t xml:space="preserve">
</t>
    </r>
    <r>
      <rPr>
        <b/>
        <sz val="10"/>
        <color indexed="8"/>
        <rFont val="Segoe UI"/>
        <family val="2"/>
      </rPr>
      <t>Ex3</t>
    </r>
    <r>
      <rPr>
        <sz val="10"/>
        <color indexed="8"/>
        <rFont val="Segoe UI"/>
        <family val="2"/>
      </rPr>
      <t>: Continuously monitor deception technology, including user accounts, for any usage</t>
    </r>
  </si>
  <si>
    <r>
      <rPr>
        <b/>
        <sz val="10"/>
        <color indexed="8"/>
        <rFont val="Segoe UI"/>
        <family val="2"/>
      </rPr>
      <t>Ex1</t>
    </r>
    <r>
      <rPr>
        <sz val="10"/>
        <color indexed="8"/>
        <rFont val="Segoe UI"/>
        <family val="2"/>
      </rPr>
      <t>: Monitor remote and onsite administration and maintenance activities that external providers perform on organizational systems</t>
    </r>
    <r>
      <rPr>
        <sz val="10"/>
        <color theme="1"/>
        <rFont val="Segoe UI"/>
        <family val="2"/>
      </rPr>
      <t xml:space="preserve">
</t>
    </r>
    <r>
      <rPr>
        <b/>
        <sz val="10"/>
        <color indexed="8"/>
        <rFont val="Segoe UI"/>
        <family val="2"/>
      </rPr>
      <t>Ex2</t>
    </r>
    <r>
      <rPr>
        <sz val="10"/>
        <color indexed="8"/>
        <rFont val="Segoe UI"/>
        <family val="2"/>
      </rPr>
      <t>: Monitor activity from cloud-based services, internet service providers, and other service providers for deviations from expected behavior</t>
    </r>
  </si>
  <si>
    <r>
      <rPr>
        <b/>
        <sz val="10"/>
        <color indexed="8"/>
        <rFont val="Segoe UI"/>
        <family val="2"/>
      </rPr>
      <t>Ex1</t>
    </r>
    <r>
      <rPr>
        <sz val="10"/>
        <color indexed="8"/>
        <rFont val="Segoe UI"/>
        <family val="2"/>
      </rPr>
      <t>: Monitor email, web, file sharing, collaboration services, and other common attack vectors to detect malware, phishing, data leaks and exfiltration, and other adverse events</t>
    </r>
    <r>
      <rPr>
        <sz val="10"/>
        <color theme="1"/>
        <rFont val="Segoe UI"/>
        <family val="2"/>
      </rPr>
      <t xml:space="preserve">
</t>
    </r>
    <r>
      <rPr>
        <b/>
        <sz val="10"/>
        <color indexed="8"/>
        <rFont val="Segoe UI"/>
        <family val="2"/>
      </rPr>
      <t>Ex2</t>
    </r>
    <r>
      <rPr>
        <sz val="10"/>
        <color indexed="8"/>
        <rFont val="Segoe UI"/>
        <family val="2"/>
      </rPr>
      <t>: Monitor authentication attempts to identify attacks against credentials and unauthorized credential reuse</t>
    </r>
    <r>
      <rPr>
        <sz val="10"/>
        <color theme="1"/>
        <rFont val="Segoe UI"/>
        <family val="2"/>
      </rPr>
      <t xml:space="preserve">
</t>
    </r>
    <r>
      <rPr>
        <b/>
        <sz val="10"/>
        <color indexed="8"/>
        <rFont val="Segoe UI"/>
        <family val="2"/>
      </rPr>
      <t>Ex3</t>
    </r>
    <r>
      <rPr>
        <sz val="10"/>
        <color indexed="8"/>
        <rFont val="Segoe UI"/>
        <family val="2"/>
      </rPr>
      <t>: Monitor software configurations for deviations from security baselines</t>
    </r>
    <r>
      <rPr>
        <sz val="10"/>
        <color theme="1"/>
        <rFont val="Segoe UI"/>
        <family val="2"/>
      </rPr>
      <t xml:space="preserve">
</t>
    </r>
    <r>
      <rPr>
        <b/>
        <sz val="10"/>
        <color indexed="8"/>
        <rFont val="Segoe UI"/>
        <family val="2"/>
      </rPr>
      <t>Ex4</t>
    </r>
    <r>
      <rPr>
        <sz val="10"/>
        <color indexed="8"/>
        <rFont val="Segoe UI"/>
        <family val="2"/>
      </rPr>
      <t>: Monitor hardware and software for signs of tampering</t>
    </r>
    <r>
      <rPr>
        <sz val="10"/>
        <color theme="1"/>
        <rFont val="Segoe UI"/>
        <family val="2"/>
      </rPr>
      <t xml:space="preserve">
</t>
    </r>
    <r>
      <rPr>
        <b/>
        <sz val="10"/>
        <color indexed="8"/>
        <rFont val="Segoe UI"/>
        <family val="2"/>
      </rPr>
      <t>Ex5</t>
    </r>
    <r>
      <rPr>
        <sz val="10"/>
        <color indexed="8"/>
        <rFont val="Segoe UI"/>
        <family val="2"/>
      </rPr>
      <t>: Use technologies with a presence on endpoints to detect cyber health issues (e.g., missing patches, malware infections, unauthorized software), and redirect the endpoints to a remediation environment before access is authorized</t>
    </r>
  </si>
  <si>
    <r>
      <rPr>
        <b/>
        <sz val="10"/>
        <color indexed="8"/>
        <rFont val="Segoe UI"/>
        <family val="2"/>
      </rPr>
      <t>Ex1</t>
    </r>
    <r>
      <rPr>
        <sz val="10"/>
        <color indexed="8"/>
        <rFont val="Segoe UI"/>
        <family val="2"/>
      </rPr>
      <t>: Use security information and event management (SIEM) or other tools to continuously monitor log events for known malicious and suspicious activity</t>
    </r>
    <r>
      <rPr>
        <sz val="10"/>
        <color theme="1"/>
        <rFont val="Segoe UI"/>
        <family val="2"/>
      </rPr>
      <t xml:space="preserve">
</t>
    </r>
    <r>
      <rPr>
        <b/>
        <sz val="10"/>
        <color indexed="8"/>
        <rFont val="Segoe UI"/>
        <family val="2"/>
      </rPr>
      <t>Ex2</t>
    </r>
    <r>
      <rPr>
        <sz val="10"/>
        <color indexed="8"/>
        <rFont val="Segoe UI"/>
        <family val="2"/>
      </rPr>
      <t>: Utilize up-to-date cyber threat intelligence in log analysis tools to improve detection accuracy and characterize threat actors, their methods, and indicators of compromise</t>
    </r>
    <r>
      <rPr>
        <sz val="10"/>
        <color theme="1"/>
        <rFont val="Segoe UI"/>
        <family val="2"/>
      </rPr>
      <t xml:space="preserve">
</t>
    </r>
    <r>
      <rPr>
        <b/>
        <sz val="10"/>
        <color indexed="8"/>
        <rFont val="Segoe UI"/>
        <family val="2"/>
      </rPr>
      <t>Ex3</t>
    </r>
    <r>
      <rPr>
        <sz val="10"/>
        <color indexed="8"/>
        <rFont val="Segoe UI"/>
        <family val="2"/>
      </rPr>
      <t>: Regularly conduct manual reviews of log events for technologies that cannot be sufficiently monitored through automation</t>
    </r>
    <r>
      <rPr>
        <sz val="10"/>
        <color theme="1"/>
        <rFont val="Segoe UI"/>
        <family val="2"/>
      </rPr>
      <t xml:space="preserve">
</t>
    </r>
    <r>
      <rPr>
        <b/>
        <sz val="10"/>
        <color indexed="8"/>
        <rFont val="Segoe UI"/>
        <family val="2"/>
      </rPr>
      <t>Ex4</t>
    </r>
    <r>
      <rPr>
        <sz val="10"/>
        <color indexed="8"/>
        <rFont val="Segoe UI"/>
        <family val="2"/>
      </rPr>
      <t>: Use log analysis tools to generate reports on their findings</t>
    </r>
  </si>
  <si>
    <r>
      <rPr>
        <b/>
        <sz val="10"/>
        <color indexed="8"/>
        <rFont val="Segoe UI"/>
        <family val="2"/>
      </rPr>
      <t>Ex1</t>
    </r>
    <r>
      <rPr>
        <sz val="10"/>
        <color indexed="8"/>
        <rFont val="Segoe UI"/>
        <family val="2"/>
      </rPr>
      <t>: Constantly transfer log data generated by other sources to a relatively small number of log servers</t>
    </r>
    <r>
      <rPr>
        <sz val="10"/>
        <color theme="1"/>
        <rFont val="Segoe UI"/>
        <family val="2"/>
      </rPr>
      <t xml:space="preserve">
</t>
    </r>
    <r>
      <rPr>
        <b/>
        <sz val="10"/>
        <color indexed="8"/>
        <rFont val="Segoe UI"/>
        <family val="2"/>
      </rPr>
      <t>Ex2</t>
    </r>
    <r>
      <rPr>
        <sz val="10"/>
        <color indexed="8"/>
        <rFont val="Segoe UI"/>
        <family val="2"/>
      </rPr>
      <t>: Use event correlation technology (e.g., SIEM) to collect information captured by multiple sources</t>
    </r>
    <r>
      <rPr>
        <sz val="10"/>
        <color theme="1"/>
        <rFont val="Segoe UI"/>
        <family val="2"/>
      </rPr>
      <t xml:space="preserve">
</t>
    </r>
    <r>
      <rPr>
        <b/>
        <sz val="10"/>
        <color indexed="8"/>
        <rFont val="Segoe UI"/>
        <family val="2"/>
      </rPr>
      <t>Ex3</t>
    </r>
    <r>
      <rPr>
        <sz val="10"/>
        <color indexed="8"/>
        <rFont val="Segoe UI"/>
        <family val="2"/>
      </rPr>
      <t>: Utilize cyber threat intelligence to help correlate events among log sources</t>
    </r>
  </si>
  <si>
    <r>
      <rPr>
        <b/>
        <sz val="10"/>
        <color indexed="8"/>
        <rFont val="Segoe UI"/>
        <family val="2"/>
      </rPr>
      <t>Ex1</t>
    </r>
    <r>
      <rPr>
        <sz val="10"/>
        <color indexed="8"/>
        <rFont val="Segoe UI"/>
        <family val="2"/>
      </rPr>
      <t>: Use SIEMs or other tools to estimate impact and scope, and review and refine the estimates</t>
    </r>
    <r>
      <rPr>
        <sz val="10"/>
        <color theme="1"/>
        <rFont val="Segoe UI"/>
        <family val="2"/>
      </rPr>
      <t xml:space="preserve">
</t>
    </r>
    <r>
      <rPr>
        <b/>
        <sz val="10"/>
        <color indexed="8"/>
        <rFont val="Segoe UI"/>
        <family val="2"/>
      </rPr>
      <t>Ex2</t>
    </r>
    <r>
      <rPr>
        <sz val="10"/>
        <color indexed="8"/>
        <rFont val="Segoe UI"/>
        <family val="2"/>
      </rPr>
      <t>: A person creates their own estimates of impact and scope</t>
    </r>
  </si>
  <si>
    <r>
      <rPr>
        <b/>
        <sz val="10"/>
        <color indexed="8"/>
        <rFont val="Segoe UI"/>
        <family val="2"/>
      </rPr>
      <t>Ex1</t>
    </r>
    <r>
      <rPr>
        <sz val="10"/>
        <color indexed="8"/>
        <rFont val="Segoe UI"/>
        <family val="2"/>
      </rPr>
      <t>: Use cybersecurity software to generate alerts and provide them to the security operations center (SOC), incident responders, and incident response tools</t>
    </r>
    <r>
      <rPr>
        <sz val="10"/>
        <color theme="1"/>
        <rFont val="Segoe UI"/>
        <family val="2"/>
      </rPr>
      <t xml:space="preserve">
</t>
    </r>
    <r>
      <rPr>
        <b/>
        <sz val="10"/>
        <color indexed="8"/>
        <rFont val="Segoe UI"/>
        <family val="2"/>
      </rPr>
      <t>Ex2</t>
    </r>
    <r>
      <rPr>
        <sz val="10"/>
        <color indexed="8"/>
        <rFont val="Segoe UI"/>
        <family val="2"/>
      </rPr>
      <t>: Incident responders and other authorized personnel can access log analysis findings at all times</t>
    </r>
    <r>
      <rPr>
        <sz val="10"/>
        <color theme="1"/>
        <rFont val="Segoe UI"/>
        <family val="2"/>
      </rPr>
      <t xml:space="preserve">
</t>
    </r>
    <r>
      <rPr>
        <b/>
        <sz val="10"/>
        <color indexed="8"/>
        <rFont val="Segoe UI"/>
        <family val="2"/>
      </rPr>
      <t>Ex3</t>
    </r>
    <r>
      <rPr>
        <sz val="10"/>
        <color indexed="8"/>
        <rFont val="Segoe UI"/>
        <family val="2"/>
      </rPr>
      <t>: Automatically create and assign tickets in the organization's ticketing system when certain types of alerts occur</t>
    </r>
    <r>
      <rPr>
        <sz val="10"/>
        <color theme="1"/>
        <rFont val="Segoe UI"/>
        <family val="2"/>
      </rPr>
      <t xml:space="preserve">
</t>
    </r>
    <r>
      <rPr>
        <b/>
        <sz val="10"/>
        <color indexed="8"/>
        <rFont val="Segoe UI"/>
        <family val="2"/>
      </rPr>
      <t>Ex4</t>
    </r>
    <r>
      <rPr>
        <sz val="10"/>
        <color indexed="8"/>
        <rFont val="Segoe UI"/>
        <family val="2"/>
      </rPr>
      <t>: Manually create and assign tickets in the organization's ticketing system when technical staff discover indicators of compromise</t>
    </r>
  </si>
  <si>
    <r>
      <rPr>
        <b/>
        <sz val="10"/>
        <color indexed="8"/>
        <rFont val="Segoe UI"/>
        <family val="2"/>
      </rPr>
      <t>Ex1</t>
    </r>
    <r>
      <rPr>
        <sz val="10"/>
        <color indexed="8"/>
        <rFont val="Segoe UI"/>
        <family val="2"/>
      </rPr>
      <t>: Securely provide cyber threat intelligence feeds to detection technologies, processes, and personnel</t>
    </r>
    <r>
      <rPr>
        <sz val="10"/>
        <color theme="1"/>
        <rFont val="Segoe UI"/>
        <family val="2"/>
      </rPr>
      <t xml:space="preserve">
</t>
    </r>
    <r>
      <rPr>
        <b/>
        <sz val="10"/>
        <color indexed="8"/>
        <rFont val="Segoe UI"/>
        <family val="2"/>
      </rPr>
      <t>Ex2</t>
    </r>
    <r>
      <rPr>
        <sz val="10"/>
        <color indexed="8"/>
        <rFont val="Segoe UI"/>
        <family val="2"/>
      </rPr>
      <t>: Securely provide information from asset inventories to detection technologies, processes, and personnel</t>
    </r>
    <r>
      <rPr>
        <sz val="10"/>
        <color theme="1"/>
        <rFont val="Segoe UI"/>
        <family val="2"/>
      </rPr>
      <t xml:space="preserve">
</t>
    </r>
    <r>
      <rPr>
        <b/>
        <sz val="10"/>
        <color indexed="8"/>
        <rFont val="Segoe UI"/>
        <family val="2"/>
      </rPr>
      <t>Ex3</t>
    </r>
    <r>
      <rPr>
        <sz val="10"/>
        <color indexed="8"/>
        <rFont val="Segoe UI"/>
        <family val="2"/>
      </rPr>
      <t>: Rapidly acquire and analyze vulnerability disclosures for the organization's technologies from suppliers, vendors, and third-party security advisories</t>
    </r>
  </si>
  <si>
    <r>
      <rPr>
        <b/>
        <sz val="10"/>
        <color indexed="8"/>
        <rFont val="Segoe UI"/>
        <family val="2"/>
      </rPr>
      <t>Ex1</t>
    </r>
    <r>
      <rPr>
        <sz val="10"/>
        <color indexed="8"/>
        <rFont val="Segoe UI"/>
        <family val="2"/>
      </rPr>
      <t>: Apply incident criteria to known and assumed characteristics of activity in order to determine whether an incident should be declared</t>
    </r>
    <r>
      <rPr>
        <sz val="10"/>
        <color theme="1"/>
        <rFont val="Segoe UI"/>
        <family val="2"/>
      </rPr>
      <t xml:space="preserve">
</t>
    </r>
    <r>
      <rPr>
        <b/>
        <sz val="10"/>
        <color indexed="8"/>
        <rFont val="Segoe UI"/>
        <family val="2"/>
      </rPr>
      <t>Ex2</t>
    </r>
    <r>
      <rPr>
        <sz val="10"/>
        <color indexed="8"/>
        <rFont val="Segoe UI"/>
        <family val="2"/>
      </rPr>
      <t>: Take known false positives into account when applying incident criteria</t>
    </r>
  </si>
  <si>
    <r>
      <rPr>
        <b/>
        <sz val="10"/>
        <color indexed="8"/>
        <rFont val="Segoe UI"/>
        <family val="2"/>
      </rPr>
      <t>Ex1</t>
    </r>
    <r>
      <rPr>
        <sz val="10"/>
        <color indexed="8"/>
        <rFont val="Segoe UI"/>
        <family val="2"/>
      </rPr>
      <t>: Detection technologies automatically report confirmed incidents</t>
    </r>
    <r>
      <rPr>
        <sz val="10"/>
        <color theme="1"/>
        <rFont val="Segoe UI"/>
        <family val="2"/>
      </rPr>
      <t xml:space="preserve">
</t>
    </r>
    <r>
      <rPr>
        <b/>
        <sz val="10"/>
        <color indexed="8"/>
        <rFont val="Segoe UI"/>
        <family val="2"/>
      </rPr>
      <t>Ex2</t>
    </r>
    <r>
      <rPr>
        <sz val="10"/>
        <color indexed="8"/>
        <rFont val="Segoe UI"/>
        <family val="2"/>
      </rPr>
      <t>: Request incident response assistance from the organization's incident response outsourcer</t>
    </r>
    <r>
      <rPr>
        <sz val="10"/>
        <color theme="1"/>
        <rFont val="Segoe UI"/>
        <family val="2"/>
      </rPr>
      <t xml:space="preserve">
</t>
    </r>
    <r>
      <rPr>
        <b/>
        <sz val="10"/>
        <color indexed="8"/>
        <rFont val="Segoe UI"/>
        <family val="2"/>
      </rPr>
      <t>Ex3</t>
    </r>
    <r>
      <rPr>
        <sz val="10"/>
        <color indexed="8"/>
        <rFont val="Segoe UI"/>
        <family val="2"/>
      </rPr>
      <t>: Designate an incident lead for each incident</t>
    </r>
    <r>
      <rPr>
        <sz val="10"/>
        <color theme="1"/>
        <rFont val="Segoe UI"/>
        <family val="2"/>
      </rPr>
      <t xml:space="preserve">
</t>
    </r>
    <r>
      <rPr>
        <b/>
        <sz val="10"/>
        <color indexed="8"/>
        <rFont val="Segoe UI"/>
        <family val="2"/>
      </rPr>
      <t>Ex4</t>
    </r>
    <r>
      <rPr>
        <sz val="10"/>
        <color indexed="8"/>
        <rFont val="Segoe UI"/>
        <family val="2"/>
      </rPr>
      <t>: Initiate execution of additional cybersecurity plans as needed to support incident response (for example, business continuity and disaster recovery)</t>
    </r>
  </si>
  <si>
    <r>
      <rPr>
        <b/>
        <sz val="10"/>
        <color indexed="8"/>
        <rFont val="Segoe UI"/>
        <family val="2"/>
      </rPr>
      <t>Ex1</t>
    </r>
    <r>
      <rPr>
        <sz val="10"/>
        <color indexed="8"/>
        <rFont val="Segoe UI"/>
        <family val="2"/>
      </rPr>
      <t>: Preliminarily review incident reports to confirm that they are cybersecurity-related and necessitate incident response activities</t>
    </r>
    <r>
      <rPr>
        <sz val="10"/>
        <color theme="1"/>
        <rFont val="Segoe UI"/>
        <family val="2"/>
      </rPr>
      <t xml:space="preserve">
</t>
    </r>
    <r>
      <rPr>
        <b/>
        <sz val="10"/>
        <color indexed="8"/>
        <rFont val="Segoe UI"/>
        <family val="2"/>
      </rPr>
      <t>Ex2</t>
    </r>
    <r>
      <rPr>
        <sz val="10"/>
        <color indexed="8"/>
        <rFont val="Segoe UI"/>
        <family val="2"/>
      </rPr>
      <t>: Apply criteria to estimate the severity of an incident</t>
    </r>
  </si>
  <si>
    <r>
      <rPr>
        <b/>
        <sz val="10"/>
        <color indexed="8"/>
        <rFont val="Segoe UI"/>
        <family val="2"/>
      </rPr>
      <t>Ex1</t>
    </r>
    <r>
      <rPr>
        <sz val="10"/>
        <color indexed="8"/>
        <rFont val="Segoe UI"/>
        <family val="2"/>
      </rPr>
      <t>: Further review and categorize incidents based on the type of incident (e.g., data breach, ransomware, DDoS, account compromise)</t>
    </r>
    <r>
      <rPr>
        <sz val="10"/>
        <color theme="1"/>
        <rFont val="Segoe UI"/>
        <family val="2"/>
      </rPr>
      <t xml:space="preserve">
</t>
    </r>
    <r>
      <rPr>
        <b/>
        <sz val="10"/>
        <color indexed="8"/>
        <rFont val="Segoe UI"/>
        <family val="2"/>
      </rPr>
      <t>Ex2</t>
    </r>
    <r>
      <rPr>
        <sz val="10"/>
        <color indexed="8"/>
        <rFont val="Segoe UI"/>
        <family val="2"/>
      </rPr>
      <t>: Prioritize incidents based on their scope, likely impact, and time-critical nature</t>
    </r>
    <r>
      <rPr>
        <sz val="10"/>
        <color theme="1"/>
        <rFont val="Segoe UI"/>
        <family val="2"/>
      </rPr>
      <t xml:space="preserve">
</t>
    </r>
    <r>
      <rPr>
        <b/>
        <sz val="10"/>
        <color indexed="8"/>
        <rFont val="Segoe UI"/>
        <family val="2"/>
      </rPr>
      <t>Ex3</t>
    </r>
    <r>
      <rPr>
        <sz val="10"/>
        <color indexed="8"/>
        <rFont val="Segoe UI"/>
        <family val="2"/>
      </rPr>
      <t>: Select incident response strategies for active incidents by balancing the need to quickly recover from an incident with the need to observe the attacker or conduct a more thorough investigation</t>
    </r>
  </si>
  <si>
    <r>
      <rPr>
        <b/>
        <sz val="10"/>
        <color indexed="8"/>
        <rFont val="Segoe UI"/>
        <family val="2"/>
      </rPr>
      <t>Ex1</t>
    </r>
    <r>
      <rPr>
        <sz val="10"/>
        <color indexed="8"/>
        <rFont val="Segoe UI"/>
        <family val="2"/>
      </rPr>
      <t>: Track and validate the status of all ongoing incidents</t>
    </r>
    <r>
      <rPr>
        <sz val="10"/>
        <color theme="1"/>
        <rFont val="Segoe UI"/>
        <family val="2"/>
      </rPr>
      <t xml:space="preserve">
</t>
    </r>
    <r>
      <rPr>
        <b/>
        <sz val="10"/>
        <color indexed="8"/>
        <rFont val="Segoe UI"/>
        <family val="2"/>
      </rPr>
      <t>Ex2</t>
    </r>
    <r>
      <rPr>
        <sz val="10"/>
        <color indexed="8"/>
        <rFont val="Segoe UI"/>
        <family val="2"/>
      </rPr>
      <t>: Coordinate incident escalation or elevation with designated internal and external stakeholders</t>
    </r>
  </si>
  <si>
    <r>
      <rPr>
        <b/>
        <sz val="10"/>
        <color indexed="8"/>
        <rFont val="Segoe UI"/>
        <family val="2"/>
      </rPr>
      <t>Ex1</t>
    </r>
    <r>
      <rPr>
        <sz val="10"/>
        <color indexed="8"/>
        <rFont val="Segoe UI"/>
        <family val="2"/>
      </rPr>
      <t>: Apply incident recovery criteria to known and assumed characteristics of the incident to determine whether incident recovery processes should be initiated</t>
    </r>
    <r>
      <rPr>
        <sz val="10"/>
        <color theme="1"/>
        <rFont val="Segoe UI"/>
        <family val="2"/>
      </rPr>
      <t xml:space="preserve">
</t>
    </r>
    <r>
      <rPr>
        <b/>
        <sz val="10"/>
        <color indexed="8"/>
        <rFont val="Segoe UI"/>
        <family val="2"/>
      </rPr>
      <t>Ex2</t>
    </r>
    <r>
      <rPr>
        <sz val="10"/>
        <color indexed="8"/>
        <rFont val="Segoe UI"/>
        <family val="2"/>
      </rPr>
      <t>: Take the possible operational disruption of incident recovery activities into account</t>
    </r>
  </si>
  <si>
    <r>
      <rPr>
        <b/>
        <sz val="10"/>
        <color indexed="8"/>
        <rFont val="Segoe UI"/>
        <family val="2"/>
      </rPr>
      <t>Ex1</t>
    </r>
    <r>
      <rPr>
        <sz val="10"/>
        <color indexed="8"/>
        <rFont val="Segoe UI"/>
        <family val="2"/>
      </rPr>
      <t>: Determine the sequence of events that occurred during the incident and which assets and resources were involved in each event</t>
    </r>
    <r>
      <rPr>
        <sz val="10"/>
        <color theme="1"/>
        <rFont val="Segoe UI"/>
        <family val="2"/>
      </rPr>
      <t xml:space="preserve">
</t>
    </r>
    <r>
      <rPr>
        <b/>
        <sz val="10"/>
        <color indexed="8"/>
        <rFont val="Segoe UI"/>
        <family val="2"/>
      </rPr>
      <t>Ex2</t>
    </r>
    <r>
      <rPr>
        <sz val="10"/>
        <color indexed="8"/>
        <rFont val="Segoe UI"/>
        <family val="2"/>
      </rPr>
      <t>: Attempt to determine what vulnerabilities, threats, and threat actors were directly or indirectly involved in the incident</t>
    </r>
    <r>
      <rPr>
        <sz val="10"/>
        <color theme="1"/>
        <rFont val="Segoe UI"/>
        <family val="2"/>
      </rPr>
      <t xml:space="preserve">
</t>
    </r>
    <r>
      <rPr>
        <b/>
        <sz val="10"/>
        <color indexed="8"/>
        <rFont val="Segoe UI"/>
        <family val="2"/>
      </rPr>
      <t>Ex3</t>
    </r>
    <r>
      <rPr>
        <sz val="10"/>
        <color indexed="8"/>
        <rFont val="Segoe UI"/>
        <family val="2"/>
      </rPr>
      <t>: Analyze the incident to find the underlying, systemic root causes</t>
    </r>
    <r>
      <rPr>
        <sz val="10"/>
        <color theme="1"/>
        <rFont val="Segoe UI"/>
        <family val="2"/>
      </rPr>
      <t xml:space="preserve">
</t>
    </r>
    <r>
      <rPr>
        <b/>
        <sz val="10"/>
        <color indexed="8"/>
        <rFont val="Segoe UI"/>
        <family val="2"/>
      </rPr>
      <t>Ex4</t>
    </r>
    <r>
      <rPr>
        <sz val="10"/>
        <color indexed="8"/>
        <rFont val="Segoe UI"/>
        <family val="2"/>
      </rPr>
      <t>: Check any cyber deception technology for additional information on attacker behavior</t>
    </r>
  </si>
  <si>
    <r>
      <rPr>
        <b/>
        <sz val="10"/>
        <color indexed="8"/>
        <rFont val="Segoe UI"/>
        <family val="2"/>
      </rPr>
      <t>Ex1</t>
    </r>
    <r>
      <rPr>
        <sz val="10"/>
        <color indexed="8"/>
        <rFont val="Segoe UI"/>
        <family val="2"/>
      </rPr>
      <t>: Require each incident responder and others (e.g., system administrators, cybersecurity engineers) who perform incident response tasks to record their actions and make the record immutable</t>
    </r>
    <r>
      <rPr>
        <sz val="10"/>
        <color theme="1"/>
        <rFont val="Segoe UI"/>
        <family val="2"/>
      </rPr>
      <t xml:space="preserve">
</t>
    </r>
    <r>
      <rPr>
        <b/>
        <sz val="10"/>
        <color indexed="8"/>
        <rFont val="Segoe UI"/>
        <family val="2"/>
      </rPr>
      <t>Ex2</t>
    </r>
    <r>
      <rPr>
        <sz val="10"/>
        <color indexed="8"/>
        <rFont val="Segoe UI"/>
        <family val="2"/>
      </rPr>
      <t>: Require the incident lead to document the incident in detail and be responsible for preserving the integrity of the documentation and the sources of all information being reported</t>
    </r>
  </si>
  <si>
    <r>
      <rPr>
        <b/>
        <sz val="10"/>
        <color indexed="8"/>
        <rFont val="Segoe UI"/>
        <family val="2"/>
      </rPr>
      <t>Ex1</t>
    </r>
    <r>
      <rPr>
        <sz val="10"/>
        <color indexed="8"/>
        <rFont val="Segoe UI"/>
        <family val="2"/>
      </rPr>
      <t>: Collect, preserve, and safeguard the integrity of all pertinent incident data and metadata (e.g., data source, date/time of collection) based on evidence preservation and chain-of-custody procedures</t>
    </r>
  </si>
  <si>
    <r>
      <rPr>
        <b/>
        <sz val="10"/>
        <color indexed="8"/>
        <rFont val="Segoe UI"/>
        <family val="2"/>
      </rPr>
      <t>Ex1</t>
    </r>
    <r>
      <rPr>
        <sz val="10"/>
        <color indexed="8"/>
        <rFont val="Segoe UI"/>
        <family val="2"/>
      </rPr>
      <t>: Review other potential targets of the incident to search for indicators of compromise and evidence of persistence</t>
    </r>
    <r>
      <rPr>
        <sz val="10"/>
        <color theme="1"/>
        <rFont val="Segoe UI"/>
        <family val="2"/>
      </rPr>
      <t xml:space="preserve">
</t>
    </r>
    <r>
      <rPr>
        <b/>
        <sz val="10"/>
        <color indexed="8"/>
        <rFont val="Segoe UI"/>
        <family val="2"/>
      </rPr>
      <t>Ex2</t>
    </r>
    <r>
      <rPr>
        <sz val="10"/>
        <color indexed="8"/>
        <rFont val="Segoe UI"/>
        <family val="2"/>
      </rPr>
      <t>: Automatically run tools on targets to look for indicators of compromise and evidence of persistence</t>
    </r>
  </si>
  <si>
    <r>
      <rPr>
        <b/>
        <sz val="10"/>
        <color indexed="8"/>
        <rFont val="Segoe UI"/>
        <family val="2"/>
      </rPr>
      <t>Ex1</t>
    </r>
    <r>
      <rPr>
        <sz val="10"/>
        <color indexed="8"/>
        <rFont val="Segoe UI"/>
        <family val="2"/>
      </rPr>
      <t>: Follow the organization's breach notification procedures after discovering a data breach incident, including notifying affected customers</t>
    </r>
    <r>
      <rPr>
        <sz val="10"/>
        <color theme="1"/>
        <rFont val="Segoe UI"/>
        <family val="2"/>
      </rPr>
      <t xml:space="preserve">
</t>
    </r>
    <r>
      <rPr>
        <b/>
        <sz val="10"/>
        <color indexed="8"/>
        <rFont val="Segoe UI"/>
        <family val="2"/>
      </rPr>
      <t>Ex2</t>
    </r>
    <r>
      <rPr>
        <sz val="10"/>
        <color indexed="8"/>
        <rFont val="Segoe UI"/>
        <family val="2"/>
      </rPr>
      <t>: Notify business partners and customers of incidents in accordance with contractual requirements</t>
    </r>
    <r>
      <rPr>
        <sz val="10"/>
        <color theme="1"/>
        <rFont val="Segoe UI"/>
        <family val="2"/>
      </rPr>
      <t xml:space="preserve">
</t>
    </r>
    <r>
      <rPr>
        <b/>
        <sz val="10"/>
        <color indexed="8"/>
        <rFont val="Segoe UI"/>
        <family val="2"/>
      </rPr>
      <t>Ex3</t>
    </r>
    <r>
      <rPr>
        <sz val="10"/>
        <color indexed="8"/>
        <rFont val="Segoe UI"/>
        <family val="2"/>
      </rPr>
      <t>: Notify law enforcement agencies and regulatory bodies of incidents based on criteria in the incident response plan and management approval</t>
    </r>
  </si>
  <si>
    <r>
      <rPr>
        <b/>
        <sz val="10"/>
        <color indexed="8"/>
        <rFont val="Segoe UI"/>
        <family val="2"/>
      </rPr>
      <t>Ex1</t>
    </r>
    <r>
      <rPr>
        <sz val="10"/>
        <color indexed="8"/>
        <rFont val="Segoe UI"/>
        <family val="2"/>
      </rPr>
      <t>: Securely share information consistent with response plans and information sharing agreements</t>
    </r>
    <r>
      <rPr>
        <sz val="10"/>
        <color theme="1"/>
        <rFont val="Segoe UI"/>
        <family val="2"/>
      </rPr>
      <t xml:space="preserve">
</t>
    </r>
    <r>
      <rPr>
        <b/>
        <sz val="10"/>
        <color indexed="8"/>
        <rFont val="Segoe UI"/>
        <family val="2"/>
      </rPr>
      <t>Ex2</t>
    </r>
    <r>
      <rPr>
        <sz val="10"/>
        <color indexed="8"/>
        <rFont val="Segoe UI"/>
        <family val="2"/>
      </rPr>
      <t>: Voluntarily share information about an attacker's observed TTPs, with all sensitive data removed, with an Information Sharing and Analysis Center (ISAC)</t>
    </r>
    <r>
      <rPr>
        <sz val="10"/>
        <color theme="1"/>
        <rFont val="Segoe UI"/>
        <family val="2"/>
      </rPr>
      <t xml:space="preserve">
</t>
    </r>
    <r>
      <rPr>
        <b/>
        <sz val="10"/>
        <color indexed="8"/>
        <rFont val="Segoe UI"/>
        <family val="2"/>
      </rPr>
      <t>Ex3</t>
    </r>
    <r>
      <rPr>
        <sz val="10"/>
        <color indexed="8"/>
        <rFont val="Segoe UI"/>
        <family val="2"/>
      </rPr>
      <t>: Notify HR when malicious insider activity occurs</t>
    </r>
    <r>
      <rPr>
        <sz val="10"/>
        <color theme="1"/>
        <rFont val="Segoe UI"/>
        <family val="2"/>
      </rPr>
      <t xml:space="preserve">
</t>
    </r>
    <r>
      <rPr>
        <b/>
        <sz val="10"/>
        <color indexed="8"/>
        <rFont val="Segoe UI"/>
        <family val="2"/>
      </rPr>
      <t>Ex4</t>
    </r>
    <r>
      <rPr>
        <sz val="10"/>
        <color indexed="8"/>
        <rFont val="Segoe UI"/>
        <family val="2"/>
      </rPr>
      <t>: Regularly update senior leadership on the status of major incidents</t>
    </r>
    <r>
      <rPr>
        <sz val="10"/>
        <color theme="1"/>
        <rFont val="Segoe UI"/>
        <family val="2"/>
      </rPr>
      <t xml:space="preserve">
</t>
    </r>
    <r>
      <rPr>
        <b/>
        <sz val="10"/>
        <color indexed="8"/>
        <rFont val="Segoe UI"/>
        <family val="2"/>
      </rPr>
      <t>Ex5</t>
    </r>
    <r>
      <rPr>
        <sz val="10"/>
        <color indexed="8"/>
        <rFont val="Segoe UI"/>
        <family val="2"/>
      </rPr>
      <t>: Follow the rules and protocols defined in contracts for incident information sharing between the organization and its suppliers</t>
    </r>
    <r>
      <rPr>
        <sz val="10"/>
        <color theme="1"/>
        <rFont val="Segoe UI"/>
        <family val="2"/>
      </rPr>
      <t xml:space="preserve">
</t>
    </r>
    <r>
      <rPr>
        <b/>
        <sz val="10"/>
        <color indexed="8"/>
        <rFont val="Segoe UI"/>
        <family val="2"/>
      </rPr>
      <t>Ex6</t>
    </r>
    <r>
      <rPr>
        <sz val="10"/>
        <color indexed="8"/>
        <rFont val="Segoe UI"/>
        <family val="2"/>
      </rPr>
      <t>: Coordinate crisis communication methods between the organization and its critical suppliers</t>
    </r>
  </si>
  <si>
    <r>
      <rPr>
        <b/>
        <sz val="10"/>
        <color indexed="8"/>
        <rFont val="Segoe UI"/>
        <family val="2"/>
      </rPr>
      <t>Ex1</t>
    </r>
    <r>
      <rPr>
        <sz val="10"/>
        <color indexed="8"/>
        <rFont val="Segoe UI"/>
        <family val="2"/>
      </rPr>
      <t>: Cybersecurity technologies (e.g., antivirus software) and cybersecurity features of other technologies (e.g., operating systems, network infrastructure devices) automatically perform containment actions</t>
    </r>
    <r>
      <rPr>
        <sz val="10"/>
        <color theme="1"/>
        <rFont val="Segoe UI"/>
        <family val="2"/>
      </rPr>
      <t xml:space="preserve">
</t>
    </r>
    <r>
      <rPr>
        <b/>
        <sz val="10"/>
        <color indexed="8"/>
        <rFont val="Segoe UI"/>
        <family val="2"/>
      </rPr>
      <t>Ex2</t>
    </r>
    <r>
      <rPr>
        <sz val="10"/>
        <color indexed="8"/>
        <rFont val="Segoe UI"/>
        <family val="2"/>
      </rPr>
      <t>: Allow incident responders to manually select and perform containment actions</t>
    </r>
    <r>
      <rPr>
        <sz val="10"/>
        <color theme="1"/>
        <rFont val="Segoe UI"/>
        <family val="2"/>
      </rPr>
      <t xml:space="preserve">
</t>
    </r>
    <r>
      <rPr>
        <b/>
        <sz val="10"/>
        <color indexed="8"/>
        <rFont val="Segoe UI"/>
        <family val="2"/>
      </rPr>
      <t>Ex3</t>
    </r>
    <r>
      <rPr>
        <sz val="10"/>
        <color indexed="8"/>
        <rFont val="Segoe UI"/>
        <family val="2"/>
      </rPr>
      <t>: Allow a third party (e.g., internet service provider, managed security service provider) to perform containment actions on behalf of the organization</t>
    </r>
    <r>
      <rPr>
        <sz val="10"/>
        <color theme="1"/>
        <rFont val="Segoe UI"/>
        <family val="2"/>
      </rPr>
      <t xml:space="preserve">
</t>
    </r>
    <r>
      <rPr>
        <b/>
        <sz val="10"/>
        <color indexed="8"/>
        <rFont val="Segoe UI"/>
        <family val="2"/>
      </rPr>
      <t>Ex4</t>
    </r>
    <r>
      <rPr>
        <sz val="10"/>
        <color indexed="8"/>
        <rFont val="Segoe UI"/>
        <family val="2"/>
      </rPr>
      <t>: Automatically transfer compromised endpoints to a remediation virtual local area network (VLAN)</t>
    </r>
  </si>
  <si>
    <r>
      <rPr>
        <b/>
        <sz val="10"/>
        <color indexed="8"/>
        <rFont val="Segoe UI"/>
        <family val="2"/>
      </rPr>
      <t>Ex1</t>
    </r>
    <r>
      <rPr>
        <sz val="10"/>
        <color indexed="8"/>
        <rFont val="Segoe UI"/>
        <family val="2"/>
      </rPr>
      <t>: Cybersecurity technologies and cybersecurity features of other technologies (e.g., operating systems, network infrastructure devices) automatically perform eradication actions</t>
    </r>
    <r>
      <rPr>
        <sz val="10"/>
        <color theme="1"/>
        <rFont val="Segoe UI"/>
        <family val="2"/>
      </rPr>
      <t xml:space="preserve">
</t>
    </r>
    <r>
      <rPr>
        <b/>
        <sz val="10"/>
        <color indexed="8"/>
        <rFont val="Segoe UI"/>
        <family val="2"/>
      </rPr>
      <t>Ex2</t>
    </r>
    <r>
      <rPr>
        <sz val="10"/>
        <color indexed="8"/>
        <rFont val="Segoe UI"/>
        <family val="2"/>
      </rPr>
      <t>: Allow incident responders to manually select and perform eradication actions</t>
    </r>
    <r>
      <rPr>
        <sz val="10"/>
        <color theme="1"/>
        <rFont val="Segoe UI"/>
        <family val="2"/>
      </rPr>
      <t xml:space="preserve">
</t>
    </r>
    <r>
      <rPr>
        <b/>
        <sz val="10"/>
        <color indexed="8"/>
        <rFont val="Segoe UI"/>
        <family val="2"/>
      </rPr>
      <t>Ex3</t>
    </r>
    <r>
      <rPr>
        <sz val="10"/>
        <color indexed="8"/>
        <rFont val="Segoe UI"/>
        <family val="2"/>
      </rPr>
      <t>: Allow a third party (e.g., managed security service provider) to perform eradication actions on behalf of the organization</t>
    </r>
  </si>
  <si>
    <r>
      <rPr>
        <b/>
        <sz val="10"/>
        <color indexed="8"/>
        <rFont val="Segoe UI"/>
        <family val="2"/>
      </rPr>
      <t>Ex1</t>
    </r>
    <r>
      <rPr>
        <sz val="10"/>
        <color indexed="8"/>
        <rFont val="Segoe UI"/>
        <family val="2"/>
      </rPr>
      <t>: Begin recovery procedures during or after incident response processes</t>
    </r>
    <r>
      <rPr>
        <sz val="10"/>
        <color theme="1"/>
        <rFont val="Segoe UI"/>
        <family val="2"/>
      </rPr>
      <t xml:space="preserve">
</t>
    </r>
    <r>
      <rPr>
        <b/>
        <sz val="10"/>
        <color indexed="8"/>
        <rFont val="Segoe UI"/>
        <family val="2"/>
      </rPr>
      <t>Ex2</t>
    </r>
    <r>
      <rPr>
        <sz val="10"/>
        <color indexed="8"/>
        <rFont val="Segoe UI"/>
        <family val="2"/>
      </rPr>
      <t>: Make all individuals with recovery responsibilities aware of the plans for recovery and the authorizations required to implement each aspect of the plans</t>
    </r>
  </si>
  <si>
    <r>
      <rPr>
        <b/>
        <sz val="10"/>
        <color indexed="8"/>
        <rFont val="Segoe UI"/>
        <family val="2"/>
      </rPr>
      <t>Ex1</t>
    </r>
    <r>
      <rPr>
        <sz val="10"/>
        <color indexed="8"/>
        <rFont val="Segoe UI"/>
        <family val="2"/>
      </rPr>
      <t>: Select recovery actions based on the criteria defined in the incident response plan and available resources</t>
    </r>
    <r>
      <rPr>
        <sz val="10"/>
        <color theme="1"/>
        <rFont val="Segoe UI"/>
        <family val="2"/>
      </rPr>
      <t xml:space="preserve">
</t>
    </r>
    <r>
      <rPr>
        <b/>
        <sz val="10"/>
        <color indexed="8"/>
        <rFont val="Segoe UI"/>
        <family val="2"/>
      </rPr>
      <t>Ex2</t>
    </r>
    <r>
      <rPr>
        <sz val="10"/>
        <color indexed="8"/>
        <rFont val="Segoe UI"/>
        <family val="2"/>
      </rPr>
      <t>: Change planned recovery actions based on a reassessment of organizational needs and resources</t>
    </r>
  </si>
  <si>
    <r>
      <rPr>
        <b/>
        <sz val="10"/>
        <color indexed="8"/>
        <rFont val="Segoe UI"/>
        <family val="2"/>
      </rPr>
      <t>Ex1</t>
    </r>
    <r>
      <rPr>
        <sz val="10"/>
        <color indexed="8"/>
        <rFont val="Segoe UI"/>
        <family val="2"/>
      </rPr>
      <t>: Check restoration assets for indicators of compromise, file corruption, and other integrity issues before use</t>
    </r>
  </si>
  <si>
    <r>
      <rPr>
        <b/>
        <sz val="10"/>
        <color indexed="8"/>
        <rFont val="Segoe UI"/>
        <family val="2"/>
      </rPr>
      <t>Ex1</t>
    </r>
    <r>
      <rPr>
        <sz val="10"/>
        <color indexed="8"/>
        <rFont val="Segoe UI"/>
        <family val="2"/>
      </rPr>
      <t>: Use business impact and system categorization records (including service delivery objectives) to validate that essential services are restored in the appropriate order</t>
    </r>
    <r>
      <rPr>
        <sz val="10"/>
        <color theme="1"/>
        <rFont val="Segoe UI"/>
        <family val="2"/>
      </rPr>
      <t xml:space="preserve">
</t>
    </r>
    <r>
      <rPr>
        <b/>
        <sz val="10"/>
        <color indexed="8"/>
        <rFont val="Segoe UI"/>
        <family val="2"/>
      </rPr>
      <t>Ex2</t>
    </r>
    <r>
      <rPr>
        <sz val="10"/>
        <color indexed="8"/>
        <rFont val="Segoe UI"/>
        <family val="2"/>
      </rPr>
      <t>: Work with system owners to confirm the successful restoration of systems and the return to normal operations</t>
    </r>
    <r>
      <rPr>
        <sz val="10"/>
        <color theme="1"/>
        <rFont val="Segoe UI"/>
        <family val="2"/>
      </rPr>
      <t xml:space="preserve">
</t>
    </r>
    <r>
      <rPr>
        <b/>
        <sz val="10"/>
        <color indexed="8"/>
        <rFont val="Segoe UI"/>
        <family val="2"/>
      </rPr>
      <t>Ex3</t>
    </r>
    <r>
      <rPr>
        <sz val="10"/>
        <color indexed="8"/>
        <rFont val="Segoe UI"/>
        <family val="2"/>
      </rPr>
      <t>: Monitor the performance of restored systems to verify the adequacy of the restoration</t>
    </r>
  </si>
  <si>
    <r>
      <rPr>
        <b/>
        <sz val="10"/>
        <color indexed="8"/>
        <rFont val="Segoe UI"/>
        <family val="2"/>
      </rPr>
      <t>Ex1</t>
    </r>
    <r>
      <rPr>
        <sz val="10"/>
        <color indexed="8"/>
        <rFont val="Segoe UI"/>
        <family val="2"/>
      </rPr>
      <t>: Check restored assets for indicators of compromise and remediation of root causes of the incident before production use</t>
    </r>
    <r>
      <rPr>
        <sz val="10"/>
        <color theme="1"/>
        <rFont val="Segoe UI"/>
        <family val="2"/>
      </rPr>
      <t xml:space="preserve">
</t>
    </r>
    <r>
      <rPr>
        <b/>
        <sz val="10"/>
        <color indexed="8"/>
        <rFont val="Segoe UI"/>
        <family val="2"/>
      </rPr>
      <t>Ex2</t>
    </r>
    <r>
      <rPr>
        <sz val="10"/>
        <color indexed="8"/>
        <rFont val="Segoe UI"/>
        <family val="2"/>
      </rPr>
      <t>: Verify the correctness and adequacy of the restoration actions taken before putting a restored system online</t>
    </r>
  </si>
  <si>
    <r>
      <rPr>
        <b/>
        <sz val="10"/>
        <color indexed="8"/>
        <rFont val="Segoe UI"/>
        <family val="2"/>
      </rPr>
      <t>Ex1</t>
    </r>
    <r>
      <rPr>
        <sz val="10"/>
        <color indexed="8"/>
        <rFont val="Segoe UI"/>
        <family val="2"/>
      </rPr>
      <t>: Prepare an after-action report that documents the incident itself, the response and recovery actions taken, and lessons learned</t>
    </r>
    <r>
      <rPr>
        <sz val="10"/>
        <color theme="1"/>
        <rFont val="Segoe UI"/>
        <family val="2"/>
      </rPr>
      <t xml:space="preserve">
</t>
    </r>
    <r>
      <rPr>
        <b/>
        <sz val="10"/>
        <color indexed="8"/>
        <rFont val="Segoe UI"/>
        <family val="2"/>
      </rPr>
      <t>Ex2</t>
    </r>
    <r>
      <rPr>
        <sz val="10"/>
        <color indexed="8"/>
        <rFont val="Segoe UI"/>
        <family val="2"/>
      </rPr>
      <t>: Declare the end of incident recovery once the criteria are met</t>
    </r>
  </si>
  <si>
    <r>
      <rPr>
        <b/>
        <sz val="10"/>
        <color indexed="8"/>
        <rFont val="Segoe UI"/>
        <family val="2"/>
      </rPr>
      <t>Ex1</t>
    </r>
    <r>
      <rPr>
        <sz val="10"/>
        <color indexed="8"/>
        <rFont val="Segoe UI"/>
        <family val="2"/>
      </rPr>
      <t>: Securely share recovery information, including restoration progress, consistent with response plans and information sharing agreements</t>
    </r>
    <r>
      <rPr>
        <sz val="10"/>
        <color theme="1"/>
        <rFont val="Segoe UI"/>
        <family val="2"/>
      </rPr>
      <t xml:space="preserve">
</t>
    </r>
    <r>
      <rPr>
        <b/>
        <sz val="10"/>
        <color indexed="8"/>
        <rFont val="Segoe UI"/>
        <family val="2"/>
      </rPr>
      <t>Ex2</t>
    </r>
    <r>
      <rPr>
        <sz val="10"/>
        <color indexed="8"/>
        <rFont val="Segoe UI"/>
        <family val="2"/>
      </rPr>
      <t>: Regularly update senior leadership on recovery status and restoration progress for major incidents</t>
    </r>
    <r>
      <rPr>
        <sz val="10"/>
        <color theme="1"/>
        <rFont val="Segoe UI"/>
        <family val="2"/>
      </rPr>
      <t xml:space="preserve">
</t>
    </r>
    <r>
      <rPr>
        <b/>
        <sz val="10"/>
        <color indexed="8"/>
        <rFont val="Segoe UI"/>
        <family val="2"/>
      </rPr>
      <t>Ex3</t>
    </r>
    <r>
      <rPr>
        <sz val="10"/>
        <color indexed="8"/>
        <rFont val="Segoe UI"/>
        <family val="2"/>
      </rPr>
      <t>: Follow the rules and protocols defined in contracts for incident information sharing between the organization and its suppliers</t>
    </r>
    <r>
      <rPr>
        <sz val="10"/>
        <color theme="1"/>
        <rFont val="Segoe UI"/>
        <family val="2"/>
      </rPr>
      <t xml:space="preserve">
</t>
    </r>
    <r>
      <rPr>
        <b/>
        <sz val="10"/>
        <color indexed="8"/>
        <rFont val="Segoe UI"/>
        <family val="2"/>
      </rPr>
      <t>Ex4</t>
    </r>
    <r>
      <rPr>
        <sz val="10"/>
        <color indexed="8"/>
        <rFont val="Segoe UI"/>
        <family val="2"/>
      </rPr>
      <t>: Coordinate crisis communication between the organization and its critical suppliers</t>
    </r>
  </si>
  <si>
    <r>
      <rPr>
        <b/>
        <sz val="10"/>
        <color indexed="8"/>
        <rFont val="Segoe UI"/>
        <family val="2"/>
      </rPr>
      <t>Ex1</t>
    </r>
    <r>
      <rPr>
        <sz val="10"/>
        <color indexed="8"/>
        <rFont val="Segoe UI"/>
        <family val="2"/>
      </rPr>
      <t>: Follow the organization's breach notification procedures for recovering from a data breach incident</t>
    </r>
    <r>
      <rPr>
        <sz val="10"/>
        <color theme="1"/>
        <rFont val="Segoe UI"/>
        <family val="2"/>
      </rPr>
      <t xml:space="preserve">
</t>
    </r>
    <r>
      <rPr>
        <b/>
        <sz val="10"/>
        <color indexed="8"/>
        <rFont val="Segoe UI"/>
        <family val="2"/>
      </rPr>
      <t>Ex2</t>
    </r>
    <r>
      <rPr>
        <sz val="10"/>
        <color indexed="8"/>
        <rFont val="Segoe UI"/>
        <family val="2"/>
      </rPr>
      <t>: Explain the steps being taken to recover from the incident and to prevent a recurrence</t>
    </r>
  </si>
  <si>
    <t>Current Maturity Comments</t>
  </si>
  <si>
    <t>Target Maturity Comments</t>
  </si>
  <si>
    <t>Average of Current Maturity Score</t>
  </si>
  <si>
    <t>Overall compliance (for maturity_score textbox)</t>
  </si>
  <si>
    <t>Average of scores across each Function</t>
  </si>
  <si>
    <t>Row Labels</t>
  </si>
  <si>
    <t>Grand Total</t>
  </si>
  <si>
    <t>Average of current scores across each Category</t>
  </si>
  <si>
    <t>Current vs Target</t>
  </si>
  <si>
    <t>Current Maturity</t>
  </si>
  <si>
    <t>Target Maturity</t>
  </si>
  <si>
    <t>Level 4: Quantitatively Managed</t>
  </si>
  <si>
    <t>The organization may perform security practices in an ad hoc manner.</t>
  </si>
  <si>
    <t>The organization has established and documented practices related to security requirements. This documentation enables the organization to perform them in a repeatable manner and achieve expected outcomes.</t>
  </si>
  <si>
    <t>The organization reviews adherence to policies and provides adequate resources to implement and maintain security requirements.</t>
  </si>
  <si>
    <t>The organization reviews and measures practices for effectiveness. Corrective actions are taken when necessary, and higher-level management is informed of issues or status on a recurring basis.</t>
  </si>
  <si>
    <t>The organization has standardized and optimized process implementation throughout. It also communicates and shares improvement information across the organization.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</si>
</sst>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Aptos Narrow"/>
      <family val="2"/>
      <scheme val="minor"/>
    </font>
    <font>
      <sz val="11"/>
      <color theme="1"/>
      <name val="Arial"/>
      <family val="2"/>
    </font>
    <font>
      <b/>
      <sz val="10"/>
      <color theme="1"/>
      <name val="Arial"/>
      <family val="2"/>
    </font>
    <font>
      <sz val="10"/>
      <color theme="1"/>
      <name val="Arial"/>
      <family val="2"/>
    </font>
    <font>
      <sz val="10"/>
      <color indexed="8"/>
      <name val="Arial"/>
      <family val="2"/>
    </font>
    <font>
      <sz val="10"/>
      <color theme="1"/>
      <name val="Segoe UI"/>
      <family val="2"/>
    </font>
    <font>
      <b/>
      <sz val="10"/>
      <color indexed="8"/>
      <name val="Segoe UI"/>
      <family val="2"/>
    </font>
    <font>
      <sz val="10"/>
      <color indexed="8"/>
      <name val="Segoe UI"/>
      <family val="2"/>
    </font>
    <font>
      <b/>
      <sz val="10"/>
      <color theme="1"/>
      <name val="Segoe UI"/>
      <family val="2"/>
    </font>
    <font>
      <sz val="12"/>
      <color theme="1"/>
      <name val="Aptos Narrow"/>
      <family val="2"/>
      <scheme val="minor"/>
    </font>
    <font>
      <sz val="12"/>
      <color rgb="FF0070C0"/>
      <name val="Segoe UI"/>
      <family val="2"/>
    </font>
    <font>
      <b/>
      <sz val="11"/>
      <color theme="1"/>
      <name val="Segoe UI"/>
      <family val="2"/>
    </font>
    <font>
      <b/>
      <sz val="10"/>
      <color rgb="FF055C9D"/>
      <name val="Segoe UI"/>
      <family val="2"/>
    </font>
    <font>
      <sz val="11"/>
      <color theme="1"/>
      <name val="Segoe UI"/>
      <family val="2"/>
    </font>
    <font>
      <sz val="10"/>
      <color theme="1"/>
      <name val="Segoe UI"/>
    </font>
  </fonts>
  <fills count="17">
    <fill>
      <patternFill patternType="none"/>
    </fill>
    <fill>
      <patternFill patternType="gray125"/>
    </fill>
    <fill>
      <patternFill patternType="solid">
        <fgColor rgb="FFF9F49D"/>
        <bgColor indexed="64"/>
      </patternFill>
    </fill>
    <fill>
      <patternFill patternType="solid">
        <fgColor rgb="FFFFFFFF"/>
        <bgColor indexed="64"/>
      </patternFill>
    </fill>
    <fill>
      <patternFill patternType="solid">
        <fgColor rgb="FF4BB2E0"/>
        <bgColor indexed="64"/>
      </patternFill>
    </fill>
    <fill>
      <patternFill patternType="solid">
        <fgColor rgb="FF9292EA"/>
        <bgColor indexed="64"/>
      </patternFill>
    </fill>
    <fill>
      <patternFill patternType="solid">
        <fgColor rgb="FFFAB746"/>
        <bgColor indexed="64"/>
      </patternFill>
    </fill>
    <fill>
      <patternFill patternType="solid">
        <fgColor rgb="FFF97367"/>
        <bgColor indexed="64"/>
      </patternFill>
    </fill>
    <fill>
      <patternFill patternType="solid">
        <fgColor rgb="FF7DF49F"/>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3FAFF"/>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EFF6FB"/>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cellStyleXfs>
  <cellXfs count="40">
    <xf numFmtId="0" fontId="0" fillId="0" borderId="0" xfId="0"/>
    <xf numFmtId="0" fontId="1" fillId="0" borderId="0" xfId="0" applyFont="1"/>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3" fillId="0" borderId="0" xfId="0" applyFont="1"/>
    <xf numFmtId="0" fontId="4" fillId="9" borderId="1" xfId="0" applyFont="1" applyFill="1" applyBorder="1" applyAlignment="1">
      <alignment horizontal="left" vertical="top" wrapText="1"/>
    </xf>
    <xf numFmtId="0" fontId="5" fillId="0" borderId="0" xfId="0" applyFont="1"/>
    <xf numFmtId="0" fontId="5" fillId="0" borderId="1" xfId="0" applyFont="1" applyBorder="1" applyAlignment="1">
      <alignment horizontal="left" vertical="top" wrapText="1"/>
    </xf>
    <xf numFmtId="0" fontId="5" fillId="0" borderId="1" xfId="0" applyFont="1" applyBorder="1" applyAlignment="1">
      <alignment vertical="top" wrapText="1"/>
    </xf>
    <xf numFmtId="0" fontId="5" fillId="0" borderId="1" xfId="0" applyFont="1" applyBorder="1" applyAlignment="1">
      <alignment vertical="top"/>
    </xf>
    <xf numFmtId="0" fontId="8" fillId="10" borderId="1" xfId="0" applyFont="1" applyFill="1" applyBorder="1" applyAlignment="1">
      <alignment horizontal="center" vertical="top"/>
    </xf>
    <xf numFmtId="0" fontId="8" fillId="11" borderId="1" xfId="0" applyFont="1" applyFill="1" applyBorder="1" applyAlignment="1">
      <alignment horizontal="center" vertical="top"/>
    </xf>
    <xf numFmtId="0" fontId="5" fillId="0" borderId="0" xfId="0" applyFont="1" applyAlignment="1">
      <alignment vertical="top"/>
    </xf>
    <xf numFmtId="0" fontId="5" fillId="0" borderId="0" xfId="0" applyFont="1" applyAlignment="1">
      <alignment vertical="top" wrapText="1"/>
    </xf>
    <xf numFmtId="0" fontId="5" fillId="0" borderId="0" xfId="0" applyFont="1" applyAlignment="1">
      <alignment horizontal="center" vertical="top"/>
    </xf>
    <xf numFmtId="0" fontId="11" fillId="13" borderId="1" xfId="0" applyFont="1" applyFill="1" applyBorder="1" applyAlignment="1">
      <alignment vertical="center" wrapText="1"/>
    </xf>
    <xf numFmtId="0" fontId="11" fillId="14" borderId="1" xfId="0" applyFont="1" applyFill="1" applyBorder="1" applyAlignment="1">
      <alignment vertical="center" wrapText="1"/>
    </xf>
    <xf numFmtId="0" fontId="11" fillId="15" borderId="1" xfId="0" applyFont="1" applyFill="1" applyBorder="1" applyAlignment="1">
      <alignment vertical="center" wrapText="1"/>
    </xf>
    <xf numFmtId="0" fontId="5" fillId="0" borderId="0" xfId="0" applyFont="1" applyAlignment="1">
      <alignment horizontal="right" vertical="top"/>
    </xf>
    <xf numFmtId="0" fontId="5" fillId="0" borderId="0" xfId="0" applyFont="1" applyAlignment="1">
      <alignment horizontal="center" vertical="center"/>
    </xf>
    <xf numFmtId="0" fontId="8" fillId="0" borderId="0" xfId="0" applyFont="1" applyAlignment="1">
      <alignment vertical="top"/>
    </xf>
    <xf numFmtId="0" fontId="5" fillId="0" borderId="1" xfId="0" applyFont="1" applyBorder="1" applyAlignment="1">
      <alignment horizontal="center" vertical="top"/>
    </xf>
    <xf numFmtId="0" fontId="13" fillId="0" borderId="0" xfId="0" applyFont="1"/>
    <xf numFmtId="0" fontId="8" fillId="3" borderId="1" xfId="0" applyFont="1" applyFill="1" applyBorder="1" applyAlignment="1">
      <alignment horizontal="left" vertical="top" wrapText="1"/>
    </xf>
    <xf numFmtId="0" fontId="11" fillId="0" borderId="0" xfId="0" applyFont="1" applyAlignment="1">
      <alignment wrapText="1"/>
    </xf>
    <xf numFmtId="0" fontId="13" fillId="0" borderId="0" xfId="0" applyFont="1" applyAlignment="1">
      <alignment wrapText="1"/>
    </xf>
    <xf numFmtId="164" fontId="14" fillId="0" borderId="0" xfId="0" applyNumberFormat="1" applyFont="1" applyAlignment="1">
      <alignment horizontal="center"/>
    </xf>
    <xf numFmtId="0" fontId="14" fillId="16" borderId="0" xfId="0" applyFont="1" applyFill="1" applyAlignment="1">
      <alignment vertical="top" wrapText="1"/>
    </xf>
    <xf numFmtId="0" fontId="14" fillId="0" borderId="0" xfId="0" applyFont="1" applyAlignment="1">
      <alignment horizontal="left"/>
    </xf>
    <xf numFmtId="164" fontId="14" fillId="16" borderId="0" xfId="0" applyNumberFormat="1" applyFont="1" applyFill="1" applyAlignment="1">
      <alignment horizontal="center"/>
    </xf>
    <xf numFmtId="0" fontId="14" fillId="16" borderId="0" xfId="0" applyFont="1" applyFill="1" applyAlignment="1">
      <alignment horizontal="left"/>
    </xf>
    <xf numFmtId="0" fontId="14" fillId="16" borderId="0" xfId="0" applyFont="1" applyFill="1"/>
    <xf numFmtId="0" fontId="12" fillId="16" borderId="2" xfId="0" applyFont="1" applyFill="1" applyBorder="1" applyAlignment="1">
      <alignment horizontal="center" vertical="center"/>
    </xf>
    <xf numFmtId="0" fontId="12" fillId="16" borderId="3" xfId="0" applyFont="1" applyFill="1" applyBorder="1" applyAlignment="1">
      <alignment horizontal="center" vertical="center"/>
    </xf>
    <xf numFmtId="0" fontId="12" fillId="16" borderId="4" xfId="0" applyFont="1" applyFill="1" applyBorder="1" applyAlignment="1">
      <alignment horizontal="center" vertical="center"/>
    </xf>
    <xf numFmtId="0" fontId="10" fillId="12" borderId="0" xfId="1" applyFont="1" applyFill="1" applyAlignment="1">
      <alignment horizontal="center" vertical="center"/>
    </xf>
  </cellXfs>
  <cellStyles count="2">
    <cellStyle name="Normal" xfId="0" builtinId="0"/>
    <cellStyle name="Normal 2" xfId="1" xr:uid="{E4E28021-E278-453C-BE3C-1E8AA0441D4C}"/>
  </cellStyles>
  <dxfs count="62">
    <dxf>
      <fill>
        <patternFill patternType="solid">
          <bgColor rgb="FFEFF6FB"/>
        </patternFill>
      </fill>
    </dxf>
    <dxf>
      <numFmt numFmtId="164" formatCode="0.0"/>
    </dxf>
    <dxf>
      <alignment wrapText="1"/>
    </dxf>
    <dxf>
      <alignment vertical="top"/>
    </dxf>
    <dxf>
      <alignment horizontal="center"/>
    </dxf>
    <dxf>
      <numFmt numFmtId="2" formatCode="0.00"/>
    </dxf>
    <dxf>
      <font>
        <sz val="10"/>
      </font>
    </dxf>
    <dxf>
      <font>
        <sz val="10"/>
      </font>
    </dxf>
    <dxf>
      <font>
        <sz val="10"/>
      </font>
    </dxf>
    <dxf>
      <font>
        <name val="Segoe UI"/>
        <scheme val="none"/>
      </font>
    </dxf>
    <dxf>
      <font>
        <name val="Segoe UI"/>
        <scheme val="none"/>
      </font>
    </dxf>
    <dxf>
      <font>
        <name val="Segoe UI"/>
        <scheme val="none"/>
      </font>
    </dxf>
    <dxf>
      <fill>
        <patternFill>
          <bgColor rgb="FFEFF6FB"/>
        </patternFill>
      </fill>
    </dxf>
    <dxf>
      <fill>
        <patternFill>
          <bgColor rgb="FFEFF6FB"/>
        </patternFill>
      </fill>
    </dxf>
    <dxf>
      <fill>
        <patternFill patternType="solid">
          <bgColor rgb="FFEFF6FB"/>
        </patternFill>
      </fill>
    </dxf>
    <dxf>
      <fill>
        <patternFill patternType="solid">
          <bgColor rgb="FFEFF6FB"/>
        </patternFill>
      </fill>
    </dxf>
    <dxf>
      <fill>
        <patternFill>
          <bgColor rgb="FFEFF6FB"/>
        </patternFill>
      </fill>
    </dxf>
    <dxf>
      <fill>
        <patternFill patternType="solid">
          <bgColor rgb="FFEFF6FB"/>
        </patternFill>
      </fill>
    </dxf>
    <dxf>
      <numFmt numFmtId="164" formatCode="0.0"/>
    </dxf>
    <dxf>
      <alignment wrapText="1"/>
    </dxf>
    <dxf>
      <alignment vertical="top"/>
    </dxf>
    <dxf>
      <alignment horizontal="center"/>
    </dxf>
    <dxf>
      <numFmt numFmtId="2" formatCode="0.00"/>
    </dxf>
    <dxf>
      <font>
        <sz val="10"/>
      </font>
    </dxf>
    <dxf>
      <font>
        <sz val="10"/>
      </font>
    </dxf>
    <dxf>
      <font>
        <sz val="10"/>
      </font>
    </dxf>
    <dxf>
      <font>
        <name val="Segoe UI"/>
        <scheme val="none"/>
      </font>
    </dxf>
    <dxf>
      <font>
        <name val="Segoe UI"/>
        <scheme val="none"/>
      </font>
    </dxf>
    <dxf>
      <font>
        <name val="Segoe UI"/>
        <scheme val="none"/>
      </font>
    </dxf>
    <dxf>
      <fill>
        <patternFill>
          <bgColor rgb="FFEFF6FB"/>
        </patternFill>
      </fill>
    </dxf>
    <dxf>
      <fill>
        <patternFill>
          <bgColor rgb="FFEFF6FB"/>
        </patternFill>
      </fill>
    </dxf>
    <dxf>
      <fill>
        <patternFill patternType="solid">
          <bgColor rgb="FFEFF6FB"/>
        </patternFill>
      </fill>
    </dxf>
    <dxf>
      <fill>
        <patternFill patternType="solid">
          <bgColor rgb="FFEFF6FB"/>
        </patternFill>
      </fill>
    </dxf>
    <dxf>
      <fill>
        <patternFill>
          <bgColor rgb="FFEFF6FB"/>
        </patternFill>
      </fill>
    </dxf>
    <dxf>
      <fill>
        <patternFill patternType="solid">
          <bgColor rgb="FFEFF6FB"/>
        </patternFill>
      </fill>
    </dxf>
    <dxf>
      <numFmt numFmtId="164" formatCode="0.0"/>
    </dxf>
    <dxf>
      <alignment wrapText="1"/>
    </dxf>
    <dxf>
      <alignment vertical="top"/>
    </dxf>
    <dxf>
      <alignment horizontal="center"/>
    </dxf>
    <dxf>
      <numFmt numFmtId="2" formatCode="0.00"/>
    </dxf>
    <dxf>
      <font>
        <sz val="10"/>
      </font>
    </dxf>
    <dxf>
      <font>
        <sz val="10"/>
      </font>
    </dxf>
    <dxf>
      <font>
        <sz val="10"/>
      </font>
    </dxf>
    <dxf>
      <font>
        <name val="Segoe UI"/>
        <scheme val="none"/>
      </font>
    </dxf>
    <dxf>
      <font>
        <name val="Segoe UI"/>
        <scheme val="none"/>
      </font>
    </dxf>
    <dxf>
      <font>
        <name val="Segoe UI"/>
        <scheme val="none"/>
      </font>
    </dxf>
    <dxf>
      <fill>
        <patternFill patternType="solid">
          <bgColor rgb="FFEFF6FB"/>
        </patternFill>
      </fill>
    </dxf>
    <dxf>
      <fill>
        <patternFill patternType="solid">
          <bgColor rgb="FFEFF6FB"/>
        </patternFill>
      </fill>
    </dxf>
    <dxf>
      <fill>
        <patternFill>
          <bgColor rgb="FFEFF6FB"/>
        </patternFill>
      </fill>
    </dxf>
    <dxf>
      <fill>
        <patternFill>
          <bgColor rgb="FFEFF6FB"/>
        </patternFill>
      </fill>
    </dxf>
    <dxf>
      <fill>
        <patternFill patternType="solid">
          <bgColor rgb="FFEFF6FB"/>
        </patternFill>
      </fill>
    </dxf>
    <dxf>
      <numFmt numFmtId="164" formatCode="0.0"/>
    </dxf>
    <dxf>
      <alignment wrapText="1"/>
    </dxf>
    <dxf>
      <alignment vertical="top"/>
    </dxf>
    <dxf>
      <alignment horizontal="center"/>
    </dxf>
    <dxf>
      <numFmt numFmtId="2" formatCode="0.00"/>
    </dxf>
    <dxf>
      <font>
        <sz val="10"/>
      </font>
    </dxf>
    <dxf>
      <font>
        <sz val="10"/>
      </font>
    </dxf>
    <dxf>
      <font>
        <sz val="10"/>
      </font>
    </dxf>
    <dxf>
      <font>
        <name val="Segoe UI"/>
        <scheme val="none"/>
      </font>
    </dxf>
    <dxf>
      <font>
        <name val="Segoe UI"/>
        <scheme val="none"/>
      </font>
    </dxf>
    <dxf>
      <font>
        <name val="Segoe UI"/>
        <scheme val="none"/>
      </font>
    </dxf>
  </dxfs>
  <tableStyles count="0" defaultTableStyle="TableStyleMedium2" defaultPivotStyle="PivotStyleLight16"/>
  <colors>
    <mruColors>
      <color rgb="FF0E86D4"/>
      <color rgb="FF68BBE3"/>
      <color rgb="FFEFF6FB"/>
      <color rgb="FFF2F7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[NIST-CSF-2.0-Maturity-Assessment-Template-ver-1.0.xlsx]Pivots!PivotTable2</c:name>
    <c:fmtId val="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a:gsLst>
              <a:gs pos="0">
                <a:srgbClr val="0E86D4"/>
              </a:gs>
              <a:gs pos="100000">
                <a:srgbClr val="68BBE3"/>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Pivots!$C$20</c:f>
              <c:strCache>
                <c:ptCount val="1"/>
                <c:pt idx="0">
                  <c:v>Total</c:v>
                </c:pt>
              </c:strCache>
            </c:strRef>
          </c:tx>
          <c:spPr>
            <a:gradFill>
              <a:gsLst>
                <a:gs pos="0">
                  <a:srgbClr val="0E86D4"/>
                </a:gs>
                <a:gs pos="100000">
                  <a:srgbClr val="68BBE3"/>
                </a:gs>
              </a:gsLst>
              <a:lin ang="5400000" scaled="1"/>
            </a:gra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Pivots!$B$21:$B$27</c:f>
              <c:strCache>
                <c:ptCount val="6"/>
                <c:pt idx="0">
                  <c:v>DETECT (DE)</c:v>
                </c:pt>
                <c:pt idx="1">
                  <c:v>GOVERN (GV)</c:v>
                </c:pt>
                <c:pt idx="2">
                  <c:v>IDENTIFY (ID)</c:v>
                </c:pt>
                <c:pt idx="3">
                  <c:v>PROTECT (PR)</c:v>
                </c:pt>
                <c:pt idx="4">
                  <c:v>RECOVER (RC)</c:v>
                </c:pt>
                <c:pt idx="5">
                  <c:v>RESPOND (RS)</c:v>
                </c:pt>
              </c:strCache>
            </c:strRef>
          </c:cat>
          <c:val>
            <c:numRef>
              <c:f>Pivots!$C$21:$C$27</c:f>
              <c:numCache>
                <c:formatCode>0.0</c:formatCode>
                <c:ptCount val="6"/>
                <c:pt idx="0">
                  <c:v>3</c:v>
                </c:pt>
                <c:pt idx="1">
                  <c:v>2.967741935483871</c:v>
                </c:pt>
                <c:pt idx="2">
                  <c:v>2.2380952380952381</c:v>
                </c:pt>
                <c:pt idx="3">
                  <c:v>3</c:v>
                </c:pt>
                <c:pt idx="4">
                  <c:v>2.625</c:v>
                </c:pt>
                <c:pt idx="5">
                  <c:v>3</c:v>
                </c:pt>
              </c:numCache>
            </c:numRef>
          </c:val>
          <c:extLst>
            <c:ext xmlns:c16="http://schemas.microsoft.com/office/drawing/2014/chart" uri="{C3380CC4-5D6E-409C-BE32-E72D297353CC}">
              <c16:uniqueId val="{00000000-AC1A-4743-8A99-9A6C9ACA117A}"/>
            </c:ext>
          </c:extLst>
        </c:ser>
        <c:dLbls>
          <c:showLegendKey val="0"/>
          <c:showVal val="0"/>
          <c:showCatName val="0"/>
          <c:showSerName val="0"/>
          <c:showPercent val="0"/>
          <c:showBubbleSize val="0"/>
        </c:dLbls>
        <c:gapWidth val="219"/>
        <c:overlap val="-27"/>
        <c:axId val="1894222768"/>
        <c:axId val="1894223728"/>
      </c:barChart>
      <c:catAx>
        <c:axId val="189422276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894223728"/>
        <c:crosses val="autoZero"/>
        <c:auto val="1"/>
        <c:lblAlgn val="ctr"/>
        <c:lblOffset val="100"/>
        <c:noMultiLvlLbl val="0"/>
      </c:catAx>
      <c:valAx>
        <c:axId val="1894223728"/>
        <c:scaling>
          <c:orientation val="minMax"/>
        </c:scaling>
        <c:delete val="1"/>
        <c:axPos val="l"/>
        <c:numFmt formatCode="0.0" sourceLinked="1"/>
        <c:majorTickMark val="none"/>
        <c:minorTickMark val="none"/>
        <c:tickLblPos val="nextTo"/>
        <c:crossAx val="189422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[NIST-CSF-2.0-Maturity-Assessment-Template-ver-1.0.xlsx]Pivots!PivotTable3</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6527973959678266"/>
          <c:y val="6.2063112365660686E-2"/>
          <c:w val="0.31067090761831123"/>
          <c:h val="0.91598052374650696"/>
        </c:manualLayout>
      </c:layout>
      <c:barChart>
        <c:barDir val="bar"/>
        <c:grouping val="clustered"/>
        <c:varyColors val="0"/>
        <c:ser>
          <c:idx val="0"/>
          <c:order val="0"/>
          <c:tx>
            <c:strRef>
              <c:f>Pivots!$C$32</c:f>
              <c:strCache>
                <c:ptCount val="1"/>
                <c:pt idx="0">
                  <c:v>Total</c:v>
                </c:pt>
              </c:strCache>
            </c:strRef>
          </c:tx>
          <c:spPr>
            <a:solidFill>
              <a:schemeClr val="accent1"/>
            </a:solidFill>
            <a:ln>
              <a:noFill/>
            </a:ln>
            <a:effectLst/>
          </c:spPr>
          <c:invertIfNegative val="0"/>
          <c:cat>
            <c:strRef>
              <c:f>Pivots!$B$33:$B$55</c:f>
              <c:strCache>
                <c:ptCount val="22"/>
                <c:pt idx="0">
                  <c:v>Adverse Event Analysis (DE.AE)</c:v>
                </c:pt>
                <c:pt idx="1">
                  <c:v>Asset Management (ID.AM)</c:v>
                </c:pt>
                <c:pt idx="2">
                  <c:v>Awareness and Training (PR.AT)</c:v>
                </c:pt>
                <c:pt idx="3">
                  <c:v>Continuous Monitoring (DE.CM)</c:v>
                </c:pt>
                <c:pt idx="4">
                  <c:v>Cybersecurity Supply Chain Risk Management (GV.SC)</c:v>
                </c:pt>
                <c:pt idx="5">
                  <c:v>Data Security (PR.DS)</c:v>
                </c:pt>
                <c:pt idx="6">
                  <c:v>Identity Management, Authentication, and Access Control (PR.AA)</c:v>
                </c:pt>
                <c:pt idx="7">
                  <c:v>Improvement (ID.IM)</c:v>
                </c:pt>
                <c:pt idx="8">
                  <c:v>Incident Analysis (RS.AN)</c:v>
                </c:pt>
                <c:pt idx="9">
                  <c:v>Incident Management (RS.MA)</c:v>
                </c:pt>
                <c:pt idx="10">
                  <c:v>Incident Mitigation (RS.MI)</c:v>
                </c:pt>
                <c:pt idx="11">
                  <c:v>Incident Recovery Communication (RC.CO)</c:v>
                </c:pt>
                <c:pt idx="12">
                  <c:v>Incident Recovery Plan Execution (RC.RP)</c:v>
                </c:pt>
                <c:pt idx="13">
                  <c:v>Incident Response Reporting and Communication (RS.CO)</c:v>
                </c:pt>
                <c:pt idx="14">
                  <c:v>Organizational Context (GV.OC)</c:v>
                </c:pt>
                <c:pt idx="15">
                  <c:v>Oversight (GV.OV)</c:v>
                </c:pt>
                <c:pt idx="16">
                  <c:v>Platform Security (PR.PS)</c:v>
                </c:pt>
                <c:pt idx="17">
                  <c:v>Policy (GV.PO)</c:v>
                </c:pt>
                <c:pt idx="18">
                  <c:v>Risk Assessment (ID.RA)</c:v>
                </c:pt>
                <c:pt idx="19">
                  <c:v>Risk Management Strategy (GV.RM)</c:v>
                </c:pt>
                <c:pt idx="20">
                  <c:v>Roles, Responsibilities, and Authorities (GV.RR)</c:v>
                </c:pt>
                <c:pt idx="21">
                  <c:v>Technology Infrastructure Resilience (PR.IR)</c:v>
                </c:pt>
              </c:strCache>
            </c:strRef>
          </c:cat>
          <c:val>
            <c:numRef>
              <c:f>Pivots!$C$33:$C$55</c:f>
              <c:numCache>
                <c:formatCode>0.0</c:formatCode>
                <c:ptCount val="22"/>
                <c:pt idx="0">
                  <c:v>3</c:v>
                </c:pt>
                <c:pt idx="1">
                  <c:v>2.4285714285714284</c:v>
                </c:pt>
                <c:pt idx="2">
                  <c:v>3</c:v>
                </c:pt>
                <c:pt idx="3">
                  <c:v>3</c:v>
                </c:pt>
                <c:pt idx="4">
                  <c:v>3</c:v>
                </c:pt>
                <c:pt idx="5">
                  <c:v>3</c:v>
                </c:pt>
                <c:pt idx="6">
                  <c:v>3</c:v>
                </c:pt>
                <c:pt idx="7">
                  <c:v>2.5</c:v>
                </c:pt>
                <c:pt idx="8">
                  <c:v>3</c:v>
                </c:pt>
                <c:pt idx="9">
                  <c:v>3</c:v>
                </c:pt>
                <c:pt idx="10">
                  <c:v>3</c:v>
                </c:pt>
                <c:pt idx="11">
                  <c:v>2</c:v>
                </c:pt>
                <c:pt idx="12">
                  <c:v>2.8333333333333335</c:v>
                </c:pt>
                <c:pt idx="13">
                  <c:v>3</c:v>
                </c:pt>
                <c:pt idx="14">
                  <c:v>2.8</c:v>
                </c:pt>
                <c:pt idx="15">
                  <c:v>3</c:v>
                </c:pt>
                <c:pt idx="16">
                  <c:v>3</c:v>
                </c:pt>
                <c:pt idx="17">
                  <c:v>3</c:v>
                </c:pt>
                <c:pt idx="18">
                  <c:v>2</c:v>
                </c:pt>
                <c:pt idx="19">
                  <c:v>3</c:v>
                </c:pt>
                <c:pt idx="20">
                  <c:v>3</c:v>
                </c:pt>
                <c:pt idx="21">
                  <c:v>3</c:v>
                </c:pt>
              </c:numCache>
            </c:numRef>
          </c:val>
          <c:extLst>
            <c:ext xmlns:c16="http://schemas.microsoft.com/office/drawing/2014/chart" uri="{C3380CC4-5D6E-409C-BE32-E72D297353CC}">
              <c16:uniqueId val="{00000000-20EC-4A1B-AE98-2BDD53129C25}"/>
            </c:ext>
          </c:extLst>
        </c:ser>
        <c:dLbls>
          <c:showLegendKey val="0"/>
          <c:showVal val="0"/>
          <c:showCatName val="0"/>
          <c:showSerName val="0"/>
          <c:showPercent val="0"/>
          <c:showBubbleSize val="0"/>
        </c:dLbls>
        <c:gapWidth val="182"/>
        <c:axId val="1529873360"/>
        <c:axId val="1529869040"/>
      </c:barChart>
      <c:catAx>
        <c:axId val="1529873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529869040"/>
        <c:crosses val="autoZero"/>
        <c:auto val="1"/>
        <c:lblAlgn val="ctr"/>
        <c:lblOffset val="100"/>
        <c:noMultiLvlLbl val="0"/>
      </c:catAx>
      <c:valAx>
        <c:axId val="1529869040"/>
        <c:scaling>
          <c:orientation val="minMax"/>
          <c:max val="5"/>
          <c:min val="1"/>
        </c:scaling>
        <c:delete val="0"/>
        <c:axPos val="b"/>
        <c:majorGridlines>
          <c:spPr>
            <a:ln w="9525" cap="flat" cmpd="sng" algn="ctr">
              <a:solidFill>
                <a:schemeClr val="tx1">
                  <a:lumMod val="15000"/>
                  <a:lumOff val="85000"/>
                </a:schemeClr>
              </a:solidFill>
              <a:prstDash val="dash"/>
              <a:round/>
            </a:ln>
            <a:effectLst/>
          </c:spPr>
        </c:majorGridlines>
        <c:numFmt formatCode="0.0" sourceLinked="1"/>
        <c:majorTickMark val="none"/>
        <c:minorTickMark val="none"/>
        <c:tickLblPos val="high"/>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529873360"/>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[NIST-CSF-2.0-Maturity-Assessment-Template-ver-1.0.xlsx]Pivots!PivotTable4</c:name>
    <c:fmtId val="9"/>
  </c:pivotSource>
  <c:chart>
    <c:autoTitleDeleted val="0"/>
    <c:pivotFmts>
      <c:pivotFmt>
        <c:idx val="0"/>
        <c:spPr>
          <a:solidFill>
            <a:schemeClr val="accent1"/>
          </a:solidFill>
          <a:ln w="28575" cap="rnd">
            <a:solidFill>
              <a:srgbClr val="68BBE3"/>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50800" cap="rnd">
            <a:solidFill>
              <a:srgbClr val="0E86D4"/>
            </a:solidFill>
            <a:round/>
          </a:ln>
          <a:effectLst/>
        </c:spPr>
        <c:marker>
          <c:symbol val="circle"/>
          <c:size val="7"/>
          <c:spPr>
            <a:solidFill>
              <a:schemeClr val="bg1">
                <a:lumMod val="95000"/>
              </a:schemeClr>
            </a:solidFill>
            <a:ln w="9525">
              <a:solidFill>
                <a:srgbClr val="0E86D4"/>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68BBE3"/>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50800" cap="rnd">
            <a:solidFill>
              <a:srgbClr val="0E86D4"/>
            </a:solidFill>
            <a:round/>
          </a:ln>
          <a:effectLst/>
        </c:spPr>
        <c:marker>
          <c:symbol val="circle"/>
          <c:size val="7"/>
          <c:spPr>
            <a:solidFill>
              <a:schemeClr val="bg1">
                <a:lumMod val="95000"/>
              </a:schemeClr>
            </a:solidFill>
            <a:ln w="9525">
              <a:solidFill>
                <a:srgbClr val="0E86D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76200" cap="rnd">
            <a:solidFill>
              <a:srgbClr val="68BBE3"/>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76200" cap="rnd">
            <a:solidFill>
              <a:srgbClr val="0E86D4"/>
            </a:solidFill>
            <a:round/>
          </a:ln>
          <a:effectLst/>
        </c:spPr>
        <c:marker>
          <c:symbol val="circle"/>
          <c:size val="7"/>
          <c:spPr>
            <a:solidFill>
              <a:schemeClr val="bg1">
                <a:lumMod val="95000"/>
              </a:schemeClr>
            </a:solidFill>
            <a:ln w="9525">
              <a:solidFill>
                <a:srgbClr val="0E86D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Pivots!$C$61</c:f>
              <c:strCache>
                <c:ptCount val="1"/>
                <c:pt idx="0">
                  <c:v>Current Maturity</c:v>
                </c:pt>
              </c:strCache>
            </c:strRef>
          </c:tx>
          <c:spPr>
            <a:ln w="76200" cap="rnd">
              <a:solidFill>
                <a:srgbClr val="68BBE3"/>
              </a:solidFill>
              <a:round/>
            </a:ln>
            <a:effectLst/>
          </c:spPr>
          <c:marker>
            <c:symbol val="circle"/>
            <c:size val="5"/>
            <c:spPr>
              <a:solidFill>
                <a:schemeClr val="accent1"/>
              </a:solidFill>
              <a:ln w="9525">
                <a:solidFill>
                  <a:schemeClr val="accent1"/>
                </a:solidFill>
              </a:ln>
              <a:effectLst/>
            </c:spPr>
          </c:marker>
          <c:cat>
            <c:strRef>
              <c:f>Pivots!$B$62:$B$68</c:f>
              <c:strCache>
                <c:ptCount val="6"/>
                <c:pt idx="0">
                  <c:v>DETECT (DE)</c:v>
                </c:pt>
                <c:pt idx="1">
                  <c:v>GOVERN (GV)</c:v>
                </c:pt>
                <c:pt idx="2">
                  <c:v>IDENTIFY (ID)</c:v>
                </c:pt>
                <c:pt idx="3">
                  <c:v>PROTECT (PR)</c:v>
                </c:pt>
                <c:pt idx="4">
                  <c:v>RECOVER (RC)</c:v>
                </c:pt>
                <c:pt idx="5">
                  <c:v>RESPOND (RS)</c:v>
                </c:pt>
              </c:strCache>
            </c:strRef>
          </c:cat>
          <c:val>
            <c:numRef>
              <c:f>Pivots!$C$62:$C$68</c:f>
              <c:numCache>
                <c:formatCode>0.0</c:formatCode>
                <c:ptCount val="6"/>
                <c:pt idx="0">
                  <c:v>3</c:v>
                </c:pt>
                <c:pt idx="1">
                  <c:v>2.967741935483871</c:v>
                </c:pt>
                <c:pt idx="2">
                  <c:v>2.2380952380952381</c:v>
                </c:pt>
                <c:pt idx="3">
                  <c:v>3</c:v>
                </c:pt>
                <c:pt idx="4">
                  <c:v>2.625</c:v>
                </c:pt>
                <c:pt idx="5">
                  <c:v>3</c:v>
                </c:pt>
              </c:numCache>
            </c:numRef>
          </c:val>
          <c:extLst>
            <c:ext xmlns:c16="http://schemas.microsoft.com/office/drawing/2014/chart" uri="{C3380CC4-5D6E-409C-BE32-E72D297353CC}">
              <c16:uniqueId val="{00000000-47EE-4A32-82FA-83230D5C0C0A}"/>
            </c:ext>
          </c:extLst>
        </c:ser>
        <c:ser>
          <c:idx val="1"/>
          <c:order val="1"/>
          <c:tx>
            <c:strRef>
              <c:f>Pivots!$D$61</c:f>
              <c:strCache>
                <c:ptCount val="1"/>
                <c:pt idx="0">
                  <c:v>Target Maturity</c:v>
                </c:pt>
              </c:strCache>
            </c:strRef>
          </c:tx>
          <c:spPr>
            <a:ln w="76200" cap="rnd">
              <a:solidFill>
                <a:srgbClr val="0E86D4"/>
              </a:solidFill>
              <a:round/>
            </a:ln>
            <a:effectLst/>
          </c:spPr>
          <c:marker>
            <c:symbol val="circle"/>
            <c:size val="7"/>
            <c:spPr>
              <a:solidFill>
                <a:schemeClr val="bg1">
                  <a:lumMod val="95000"/>
                </a:schemeClr>
              </a:solidFill>
              <a:ln w="9525">
                <a:solidFill>
                  <a:srgbClr val="0E86D4"/>
                </a:solidFill>
              </a:ln>
              <a:effectLst/>
            </c:spPr>
          </c:marker>
          <c:cat>
            <c:strRef>
              <c:f>Pivots!$B$62:$B$68</c:f>
              <c:strCache>
                <c:ptCount val="6"/>
                <c:pt idx="0">
                  <c:v>DETECT (DE)</c:v>
                </c:pt>
                <c:pt idx="1">
                  <c:v>GOVERN (GV)</c:v>
                </c:pt>
                <c:pt idx="2">
                  <c:v>IDENTIFY (ID)</c:v>
                </c:pt>
                <c:pt idx="3">
                  <c:v>PROTECT (PR)</c:v>
                </c:pt>
                <c:pt idx="4">
                  <c:v>RECOVER (RC)</c:v>
                </c:pt>
                <c:pt idx="5">
                  <c:v>RESPOND (RS)</c:v>
                </c:pt>
              </c:strCache>
            </c:strRef>
          </c:cat>
          <c:val>
            <c:numRef>
              <c:f>Pivots!$D$62:$D$68</c:f>
              <c:numCache>
                <c:formatCode>0.0</c:formatCode>
                <c:ptCount val="6"/>
                <c:pt idx="0">
                  <c:v>4</c:v>
                </c:pt>
                <c:pt idx="1">
                  <c:v>4</c:v>
                </c:pt>
                <c:pt idx="2">
                  <c:v>4</c:v>
                </c:pt>
                <c:pt idx="3">
                  <c:v>4</c:v>
                </c:pt>
                <c:pt idx="4">
                  <c:v>3.875</c:v>
                </c:pt>
                <c:pt idx="5">
                  <c:v>4</c:v>
                </c:pt>
              </c:numCache>
            </c:numRef>
          </c:val>
          <c:extLst>
            <c:ext xmlns:c16="http://schemas.microsoft.com/office/drawing/2014/chart" uri="{C3380CC4-5D6E-409C-BE32-E72D297353CC}">
              <c16:uniqueId val="{00000001-47EE-4A32-82FA-83230D5C0C0A}"/>
            </c:ext>
          </c:extLst>
        </c:ser>
        <c:dLbls>
          <c:showLegendKey val="0"/>
          <c:showVal val="0"/>
          <c:showCatName val="0"/>
          <c:showSerName val="0"/>
          <c:showPercent val="0"/>
          <c:showBubbleSize val="0"/>
        </c:dLbls>
        <c:axId val="1894216048"/>
        <c:axId val="1894223248"/>
      </c:radarChart>
      <c:catAx>
        <c:axId val="189421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894223248"/>
        <c:crosses val="autoZero"/>
        <c:auto val="1"/>
        <c:lblAlgn val="ctr"/>
        <c:lblOffset val="100"/>
        <c:noMultiLvlLbl val="0"/>
      </c:catAx>
      <c:valAx>
        <c:axId val="1894223248"/>
        <c:scaling>
          <c:orientation val="minMax"/>
          <c:max val="5"/>
        </c:scaling>
        <c:delete val="0"/>
        <c:axPos val="l"/>
        <c:majorGridlines>
          <c:spPr>
            <a:ln w="9525" cap="flat" cmpd="sng" algn="ctr">
              <a:solidFill>
                <a:schemeClr val="tx1"/>
              </a:solidFill>
              <a:prstDash val="dash"/>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894216048"/>
        <c:crosses val="autoZero"/>
        <c:crossBetween val="between"/>
        <c:majorUnit val="1"/>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100">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123826</xdr:colOff>
      <xdr:row>4</xdr:row>
      <xdr:rowOff>181614</xdr:rowOff>
    </xdr:from>
    <xdr:to>
      <xdr:col>28</xdr:col>
      <xdr:colOff>184719</xdr:colOff>
      <xdr:row>70</xdr:row>
      <xdr:rowOff>163286</xdr:rowOff>
    </xdr:to>
    <xdr:sp macro="" textlink="">
      <xdr:nvSpPr>
        <xdr:cNvPr id="6" name="Rectangle: Rounded Corners 5">
          <a:extLst>
            <a:ext uri="{FF2B5EF4-FFF2-40B4-BE49-F238E27FC236}">
              <a16:creationId xmlns:a16="http://schemas.microsoft.com/office/drawing/2014/main" id="{830BD0C6-81D7-4058-AAB6-A51BAA92A796}"/>
            </a:ext>
          </a:extLst>
        </xdr:cNvPr>
        <xdr:cNvSpPr/>
      </xdr:nvSpPr>
      <xdr:spPr>
        <a:xfrm>
          <a:off x="736147" y="943614"/>
          <a:ext cx="16593572" cy="12554672"/>
        </a:xfrm>
        <a:prstGeom prst="roundRect">
          <a:avLst>
            <a:gd name="adj" fmla="val 1855"/>
          </a:avLst>
        </a:prstGeom>
        <a:solidFill>
          <a:srgbClr val="5B9BD5">
            <a:lumMod val="40000"/>
            <a:lumOff val="60000"/>
          </a:srgbClr>
        </a:solidFill>
        <a:ln w="12700" cap="flat" cmpd="sng" algn="ctr">
          <a:noFill/>
          <a:prstDash val="solid"/>
          <a:miter lim="800000"/>
        </a:ln>
        <a:effectLst>
          <a:outerShdw blurRad="50800" dist="38100" dir="2700000" algn="tl" rotWithShape="0">
            <a:prstClr val="black">
              <a:alpha val="40000"/>
            </a:prst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8</xdr:col>
      <xdr:colOff>81643</xdr:colOff>
      <xdr:row>7</xdr:row>
      <xdr:rowOff>54428</xdr:rowOff>
    </xdr:from>
    <xdr:to>
      <xdr:col>19</xdr:col>
      <xdr:colOff>489857</xdr:colOff>
      <xdr:row>25</xdr:row>
      <xdr:rowOff>54429</xdr:rowOff>
    </xdr:to>
    <xdr:sp macro="" textlink="">
      <xdr:nvSpPr>
        <xdr:cNvPr id="24" name="Rectangle: Rounded Corners 23">
          <a:extLst>
            <a:ext uri="{FF2B5EF4-FFF2-40B4-BE49-F238E27FC236}">
              <a16:creationId xmlns:a16="http://schemas.microsoft.com/office/drawing/2014/main" id="{DA9DE59F-7468-4E9F-848E-E6A06342D12A}"/>
            </a:ext>
          </a:extLst>
        </xdr:cNvPr>
        <xdr:cNvSpPr/>
      </xdr:nvSpPr>
      <xdr:spPr>
        <a:xfrm>
          <a:off x="4980214" y="1387928"/>
          <a:ext cx="7143750" cy="3429001"/>
        </a:xfrm>
        <a:prstGeom prst="roundRect">
          <a:avLst>
            <a:gd name="adj" fmla="val 185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438150</xdr:colOff>
      <xdr:row>0</xdr:row>
      <xdr:rowOff>0</xdr:rowOff>
    </xdr:from>
    <xdr:to>
      <xdr:col>26</xdr:col>
      <xdr:colOff>214993</xdr:colOff>
      <xdr:row>4</xdr:row>
      <xdr:rowOff>179294</xdr:rowOff>
    </xdr:to>
    <xdr:grpSp>
      <xdr:nvGrpSpPr>
        <xdr:cNvPr id="10" name="Group 9">
          <a:extLst>
            <a:ext uri="{FF2B5EF4-FFF2-40B4-BE49-F238E27FC236}">
              <a16:creationId xmlns:a16="http://schemas.microsoft.com/office/drawing/2014/main" id="{39DCE1D3-8FCB-406B-A5BF-3261DB48A4F7}"/>
            </a:ext>
          </a:extLst>
        </xdr:cNvPr>
        <xdr:cNvGrpSpPr>
          <a:grpSpLocks noChangeAspect="1"/>
        </xdr:cNvGrpSpPr>
      </xdr:nvGrpSpPr>
      <xdr:grpSpPr>
        <a:xfrm>
          <a:off x="4292974" y="0"/>
          <a:ext cx="12626254" cy="926353"/>
          <a:chOff x="104776" y="0"/>
          <a:chExt cx="12020550" cy="941294"/>
        </a:xfrm>
      </xdr:grpSpPr>
      <xdr:sp macro="" textlink="">
        <xdr:nvSpPr>
          <xdr:cNvPr id="11" name="Rectangle: Rounded Corners 10">
            <a:extLst>
              <a:ext uri="{FF2B5EF4-FFF2-40B4-BE49-F238E27FC236}">
                <a16:creationId xmlns:a16="http://schemas.microsoft.com/office/drawing/2014/main" id="{B8305F3E-E73C-FDD2-B0F0-83DA1F16DC6D}"/>
              </a:ext>
            </a:extLst>
          </xdr:cNvPr>
          <xdr:cNvSpPr/>
        </xdr:nvSpPr>
        <xdr:spPr>
          <a:xfrm>
            <a:off x="104776" y="254694"/>
            <a:ext cx="1885950" cy="459681"/>
          </a:xfrm>
          <a:prstGeom prst="roundRect">
            <a:avLst/>
          </a:prstGeom>
          <a:gradFill flip="none" rotWithShape="1">
            <a:gsLst>
              <a:gs pos="0">
                <a:srgbClr val="055C9D"/>
              </a:gs>
              <a:gs pos="50000">
                <a:srgbClr val="0E86D4"/>
              </a:gs>
              <a:gs pos="100000">
                <a:schemeClr val="accent1">
                  <a:shade val="100000"/>
                  <a:satMod val="115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lt1"/>
                </a:solidFill>
                <a:effectLst/>
                <a:latin typeface="Segoe UI" panose="020B0502040204020203" pitchFamily="34" charset="0"/>
                <a:ea typeface="+mn-ea"/>
                <a:cs typeface="Segoe UI" panose="020B0502040204020203" pitchFamily="34" charset="0"/>
              </a:rPr>
              <a:t>allab</a:t>
            </a:r>
            <a:r>
              <a:rPr lang="en-US" sz="1600" b="1" baseline="0">
                <a:solidFill>
                  <a:schemeClr val="lt1"/>
                </a:solidFill>
                <a:effectLst/>
                <a:latin typeface="Segoe UI" panose="020B0502040204020203" pitchFamily="34" charset="0"/>
                <a:ea typeface="+mn-ea"/>
                <a:cs typeface="Segoe UI" panose="020B0502040204020203" pitchFamily="34" charset="0"/>
              </a:rPr>
              <a:t>outgrc.com</a:t>
            </a:r>
            <a:endParaRPr lang="en-US" sz="4800" b="1">
              <a:effectLst/>
              <a:latin typeface="Segoe UI" panose="020B0502040204020203" pitchFamily="34" charset="0"/>
              <a:cs typeface="Segoe UI" panose="020B0502040204020203" pitchFamily="34" charset="0"/>
            </a:endParaRPr>
          </a:p>
        </xdr:txBody>
      </xdr:sp>
      <xdr:sp macro="" textlink="">
        <xdr:nvSpPr>
          <xdr:cNvPr id="12" name="Rectangle 11">
            <a:extLst>
              <a:ext uri="{FF2B5EF4-FFF2-40B4-BE49-F238E27FC236}">
                <a16:creationId xmlns:a16="http://schemas.microsoft.com/office/drawing/2014/main" id="{B5D02949-6515-18AF-0DED-7051706CA95D}"/>
              </a:ext>
            </a:extLst>
          </xdr:cNvPr>
          <xdr:cNvSpPr/>
        </xdr:nvSpPr>
        <xdr:spPr>
          <a:xfrm>
            <a:off x="2190751" y="0"/>
            <a:ext cx="9934575" cy="9412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3600" b="1">
                <a:solidFill>
                  <a:srgbClr val="055C9D"/>
                </a:solidFill>
                <a:effectLst/>
                <a:latin typeface="Segoe UI" panose="020B0502040204020203" pitchFamily="34" charset="0"/>
                <a:ea typeface="+mn-ea"/>
                <a:cs typeface="Segoe UI" panose="020B0502040204020203" pitchFamily="34" charset="0"/>
              </a:rPr>
              <a:t>NIST CSF 2</a:t>
            </a:r>
            <a:r>
              <a:rPr lang="en-US" sz="3600" b="1" baseline="0">
                <a:solidFill>
                  <a:srgbClr val="055C9D"/>
                </a:solidFill>
                <a:effectLst/>
                <a:latin typeface="Segoe UI" panose="020B0502040204020203" pitchFamily="34" charset="0"/>
                <a:ea typeface="+mn-ea"/>
                <a:cs typeface="Segoe UI" panose="020B0502040204020203" pitchFamily="34" charset="0"/>
              </a:rPr>
              <a:t>.0 Maturity Assessment</a:t>
            </a:r>
            <a:r>
              <a:rPr lang="en-US" sz="3600" b="1">
                <a:solidFill>
                  <a:srgbClr val="055C9D"/>
                </a:solidFill>
                <a:effectLst/>
                <a:latin typeface="Segoe UI" panose="020B0502040204020203" pitchFamily="34" charset="0"/>
                <a:ea typeface="+mn-ea"/>
                <a:cs typeface="Segoe UI" panose="020B0502040204020203" pitchFamily="34" charset="0"/>
              </a:rPr>
              <a:t> </a:t>
            </a:r>
            <a:endParaRPr lang="en-US" sz="3600" b="1">
              <a:solidFill>
                <a:srgbClr val="055C9D"/>
              </a:solidFill>
              <a:effectLst/>
              <a:latin typeface="Segoe UI" panose="020B0502040204020203" pitchFamily="34" charset="0"/>
              <a:cs typeface="Segoe UI" panose="020B0502040204020203" pitchFamily="34" charset="0"/>
            </a:endParaRPr>
          </a:p>
        </xdr:txBody>
      </xdr:sp>
    </xdr:grpSp>
    <xdr:clientData/>
  </xdr:twoCellAnchor>
  <xdr:twoCellAnchor>
    <xdr:from>
      <xdr:col>1</xdr:col>
      <xdr:colOff>557893</xdr:colOff>
      <xdr:row>7</xdr:row>
      <xdr:rowOff>40822</xdr:rowOff>
    </xdr:from>
    <xdr:to>
      <xdr:col>7</xdr:col>
      <xdr:colOff>498286</xdr:colOff>
      <xdr:row>25</xdr:row>
      <xdr:rowOff>40821</xdr:rowOff>
    </xdr:to>
    <xdr:sp macro="" textlink="">
      <xdr:nvSpPr>
        <xdr:cNvPr id="13" name="Rectangle: Rounded Corners 12">
          <a:extLst>
            <a:ext uri="{FF2B5EF4-FFF2-40B4-BE49-F238E27FC236}">
              <a16:creationId xmlns:a16="http://schemas.microsoft.com/office/drawing/2014/main" id="{4BEA25D0-363F-41CA-94A0-18CE56B2A81C}"/>
            </a:ext>
          </a:extLst>
        </xdr:cNvPr>
        <xdr:cNvSpPr/>
      </xdr:nvSpPr>
      <xdr:spPr>
        <a:xfrm>
          <a:off x="1170214" y="1374322"/>
          <a:ext cx="3614322" cy="3428999"/>
        </a:xfrm>
        <a:prstGeom prst="roundRect">
          <a:avLst>
            <a:gd name="adj" fmla="val 1855"/>
          </a:avLst>
        </a:prstGeom>
        <a:solidFill>
          <a:srgbClr val="055C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353784</xdr:colOff>
      <xdr:row>7</xdr:row>
      <xdr:rowOff>40821</xdr:rowOff>
    </xdr:from>
    <xdr:to>
      <xdr:col>7</xdr:col>
      <xdr:colOff>489857</xdr:colOff>
      <xdr:row>10</xdr:row>
      <xdr:rowOff>2</xdr:rowOff>
    </xdr:to>
    <xdr:sp macro="" textlink="">
      <xdr:nvSpPr>
        <xdr:cNvPr id="14" name="TextBox 13">
          <a:extLst>
            <a:ext uri="{FF2B5EF4-FFF2-40B4-BE49-F238E27FC236}">
              <a16:creationId xmlns:a16="http://schemas.microsoft.com/office/drawing/2014/main" id="{89A7D02B-4032-4F22-82D8-392013AD092F}"/>
            </a:ext>
          </a:extLst>
        </xdr:cNvPr>
        <xdr:cNvSpPr txBox="1"/>
      </xdr:nvSpPr>
      <xdr:spPr>
        <a:xfrm>
          <a:off x="1578427" y="1374321"/>
          <a:ext cx="3197680" cy="530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latin typeface="Segoe UI Black" panose="020B0A02040204020203" pitchFamily="34" charset="0"/>
              <a:ea typeface="Segoe UI Black" panose="020B0A02040204020203" pitchFamily="34" charset="0"/>
              <a:cs typeface="Segoe UI" panose="020B0502040204020203" pitchFamily="34" charset="0"/>
            </a:rPr>
            <a:t>Maturity</a:t>
          </a:r>
          <a:r>
            <a:rPr lang="en-US" sz="2800" b="1" baseline="0">
              <a:solidFill>
                <a:schemeClr val="bg1"/>
              </a:solidFill>
              <a:latin typeface="Segoe UI Black" panose="020B0A02040204020203" pitchFamily="34" charset="0"/>
              <a:ea typeface="Segoe UI Black" panose="020B0A02040204020203" pitchFamily="34" charset="0"/>
              <a:cs typeface="Segoe UI" panose="020B0502040204020203" pitchFamily="34" charset="0"/>
            </a:rPr>
            <a:t> Score</a:t>
          </a:r>
          <a:endParaRPr lang="en-US" sz="2800" b="1">
            <a:solidFill>
              <a:schemeClr val="bg1"/>
            </a:solidFill>
            <a:latin typeface="Segoe UI Black" panose="020B0A02040204020203" pitchFamily="34" charset="0"/>
            <a:ea typeface="Segoe UI Black" panose="020B0A02040204020203" pitchFamily="34" charset="0"/>
            <a:cs typeface="Segoe UI" panose="020B0502040204020203" pitchFamily="34" charset="0"/>
          </a:endParaRPr>
        </a:p>
      </xdr:txBody>
    </xdr:sp>
    <xdr:clientData/>
  </xdr:twoCellAnchor>
  <xdr:twoCellAnchor>
    <xdr:from>
      <xdr:col>2</xdr:col>
      <xdr:colOff>136070</xdr:colOff>
      <xdr:row>9</xdr:row>
      <xdr:rowOff>136071</xdr:rowOff>
    </xdr:from>
    <xdr:to>
      <xdr:col>7</xdr:col>
      <xdr:colOff>462643</xdr:colOff>
      <xdr:row>11</xdr:row>
      <xdr:rowOff>95252</xdr:rowOff>
    </xdr:to>
    <xdr:sp macro="" textlink="">
      <xdr:nvSpPr>
        <xdr:cNvPr id="15" name="TextBox 14">
          <a:extLst>
            <a:ext uri="{FF2B5EF4-FFF2-40B4-BE49-F238E27FC236}">
              <a16:creationId xmlns:a16="http://schemas.microsoft.com/office/drawing/2014/main" id="{1976972B-B2EB-423C-8076-A5EE079A83C9}"/>
            </a:ext>
          </a:extLst>
        </xdr:cNvPr>
        <xdr:cNvSpPr txBox="1"/>
      </xdr:nvSpPr>
      <xdr:spPr>
        <a:xfrm>
          <a:off x="1360713" y="1850571"/>
          <a:ext cx="3388180" cy="340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latin typeface="Segoe UI" panose="020B0502040204020203" pitchFamily="34" charset="0"/>
              <a:ea typeface="Segoe UI Black" panose="020B0A02040204020203" pitchFamily="34" charset="0"/>
              <a:cs typeface="Segoe UI" panose="020B0502040204020203" pitchFamily="34" charset="0"/>
            </a:rPr>
            <a:t>Average of the scores across all the subcategories</a:t>
          </a:r>
        </a:p>
      </xdr:txBody>
    </xdr:sp>
    <xdr:clientData/>
  </xdr:twoCellAnchor>
  <xdr:twoCellAnchor>
    <xdr:from>
      <xdr:col>2</xdr:col>
      <xdr:colOff>108854</xdr:colOff>
      <xdr:row>11</xdr:row>
      <xdr:rowOff>87561</xdr:rowOff>
    </xdr:from>
    <xdr:to>
      <xdr:col>7</xdr:col>
      <xdr:colOff>308470</xdr:colOff>
      <xdr:row>11</xdr:row>
      <xdr:rowOff>87561</xdr:rowOff>
    </xdr:to>
    <xdr:cxnSp macro="">
      <xdr:nvCxnSpPr>
        <xdr:cNvPr id="16" name="Straight Connector 15">
          <a:extLst>
            <a:ext uri="{FF2B5EF4-FFF2-40B4-BE49-F238E27FC236}">
              <a16:creationId xmlns:a16="http://schemas.microsoft.com/office/drawing/2014/main" id="{23707927-A1B3-4A5F-9939-451DC8225CD8}"/>
            </a:ext>
          </a:extLst>
        </xdr:cNvPr>
        <xdr:cNvCxnSpPr/>
      </xdr:nvCxnSpPr>
      <xdr:spPr>
        <a:xfrm>
          <a:off x="1333497" y="2183061"/>
          <a:ext cx="3261223"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530678</xdr:colOff>
      <xdr:row>12</xdr:row>
      <xdr:rowOff>40821</xdr:rowOff>
    </xdr:from>
    <xdr:to>
      <xdr:col>6</xdr:col>
      <xdr:colOff>503464</xdr:colOff>
      <xdr:row>21</xdr:row>
      <xdr:rowOff>27213</xdr:rowOff>
    </xdr:to>
    <xdr:sp macro="" textlink="Pivots!$B$12">
      <xdr:nvSpPr>
        <xdr:cNvPr id="17" name="maturity_score">
          <a:extLst>
            <a:ext uri="{FF2B5EF4-FFF2-40B4-BE49-F238E27FC236}">
              <a16:creationId xmlns:a16="http://schemas.microsoft.com/office/drawing/2014/main" id="{508AA5EC-DE31-41C3-B5FE-944AF50F52A9}"/>
            </a:ext>
          </a:extLst>
        </xdr:cNvPr>
        <xdr:cNvSpPr txBox="1"/>
      </xdr:nvSpPr>
      <xdr:spPr>
        <a:xfrm>
          <a:off x="1755321" y="2326821"/>
          <a:ext cx="2422072" cy="1700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E7F1056-A253-4168-BF91-A4991E290160}" type="TxLink">
            <a:rPr lang="en-US" sz="11500" b="1" i="0" u="none" strike="noStrike">
              <a:solidFill>
                <a:schemeClr val="bg1"/>
              </a:solidFill>
              <a:latin typeface="Segoe UI"/>
              <a:ea typeface="Segoe UI Black" panose="020B0A02040204020203" pitchFamily="34" charset="0"/>
              <a:cs typeface="Segoe UI"/>
            </a:rPr>
            <a:pPr marL="0" indent="0" algn="ctr"/>
            <a:t>2.8</a:t>
          </a:fld>
          <a:endParaRPr lang="en-US" sz="400000" b="1" i="0" u="none" strike="noStrike">
            <a:solidFill>
              <a:schemeClr val="bg1"/>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20</xdr:col>
      <xdr:colOff>108855</xdr:colOff>
      <xdr:row>7</xdr:row>
      <xdr:rowOff>68033</xdr:rowOff>
    </xdr:from>
    <xdr:to>
      <xdr:col>27</xdr:col>
      <xdr:colOff>504264</xdr:colOff>
      <xdr:row>25</xdr:row>
      <xdr:rowOff>44821</xdr:rowOff>
    </xdr:to>
    <xdr:grpSp>
      <xdr:nvGrpSpPr>
        <xdr:cNvPr id="28" name="Group 27">
          <a:extLst>
            <a:ext uri="{FF2B5EF4-FFF2-40B4-BE49-F238E27FC236}">
              <a16:creationId xmlns:a16="http://schemas.microsoft.com/office/drawing/2014/main" id="{E194F23E-1B8E-BAC4-9E98-A8087030D0EB}"/>
            </a:ext>
          </a:extLst>
        </xdr:cNvPr>
        <xdr:cNvGrpSpPr/>
      </xdr:nvGrpSpPr>
      <xdr:grpSpPr>
        <a:xfrm>
          <a:off x="12958267" y="1375386"/>
          <a:ext cx="4892703" cy="3338553"/>
          <a:chOff x="12164785" y="1265463"/>
          <a:chExt cx="4687221" cy="2040998"/>
        </a:xfrm>
      </xdr:grpSpPr>
      <xdr:sp macro="" textlink="">
        <xdr:nvSpPr>
          <xdr:cNvPr id="18" name="Rectangle: Rounded Corners 17">
            <a:extLst>
              <a:ext uri="{FF2B5EF4-FFF2-40B4-BE49-F238E27FC236}">
                <a16:creationId xmlns:a16="http://schemas.microsoft.com/office/drawing/2014/main" id="{07B42661-16A1-4AC4-AD25-B3957E407E81}"/>
              </a:ext>
            </a:extLst>
          </xdr:cNvPr>
          <xdr:cNvSpPr/>
        </xdr:nvSpPr>
        <xdr:spPr>
          <a:xfrm>
            <a:off x="12164785" y="1265463"/>
            <a:ext cx="4687221" cy="2040998"/>
          </a:xfrm>
          <a:prstGeom prst="roundRect">
            <a:avLst>
              <a:gd name="adj" fmla="val 212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AC2BEBAE-10F4-4978-803B-C751AB2B6C1F}"/>
              </a:ext>
            </a:extLst>
          </xdr:cNvPr>
          <xdr:cNvSpPr txBox="1"/>
        </xdr:nvSpPr>
        <xdr:spPr>
          <a:xfrm>
            <a:off x="12319886" y="1332793"/>
            <a:ext cx="3817087" cy="358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3060"/>
                </a:solidFill>
                <a:latin typeface="Segoe UI Black" panose="020B0A02040204020203" pitchFamily="34" charset="0"/>
                <a:ea typeface="Segoe UI Black" panose="020B0A02040204020203" pitchFamily="34" charset="0"/>
              </a:rPr>
              <a:t>Refreshing dashboard</a:t>
            </a:r>
          </a:p>
        </xdr:txBody>
      </xdr:sp>
      <xdr:sp macro="" textlink="">
        <xdr:nvSpPr>
          <xdr:cNvPr id="20" name="TextBox 19">
            <a:extLst>
              <a:ext uri="{FF2B5EF4-FFF2-40B4-BE49-F238E27FC236}">
                <a16:creationId xmlns:a16="http://schemas.microsoft.com/office/drawing/2014/main" id="{F4F684F6-9DE6-4DEF-BE29-0090F2F330CE}"/>
              </a:ext>
            </a:extLst>
          </xdr:cNvPr>
          <xdr:cNvSpPr txBox="1"/>
        </xdr:nvSpPr>
        <xdr:spPr>
          <a:xfrm>
            <a:off x="12318617" y="1540886"/>
            <a:ext cx="4016040" cy="241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rgbClr val="003060"/>
                </a:solidFill>
                <a:latin typeface="Segoe UI" panose="020B0502040204020203" pitchFamily="34" charset="0"/>
                <a:ea typeface="Segoe UI Black" panose="020B0A02040204020203" pitchFamily="34" charset="0"/>
                <a:cs typeface="Segoe UI" panose="020B0502040204020203" pitchFamily="34" charset="0"/>
              </a:rPr>
              <a:t>Steps to</a:t>
            </a:r>
            <a:r>
              <a:rPr lang="en-US" sz="1100" b="0" baseline="0">
                <a:solidFill>
                  <a:srgbClr val="003060"/>
                </a:solidFill>
                <a:latin typeface="Segoe UI" panose="020B0502040204020203" pitchFamily="34" charset="0"/>
                <a:ea typeface="Segoe UI Black" panose="020B0A02040204020203" pitchFamily="34" charset="0"/>
                <a:cs typeface="Segoe UI" panose="020B0502040204020203" pitchFamily="34" charset="0"/>
              </a:rPr>
              <a:t> refresh the data </a:t>
            </a:r>
            <a:endParaRPr lang="en-US" sz="1100" b="0">
              <a:solidFill>
                <a:srgbClr val="003060"/>
              </a:solidFill>
              <a:latin typeface="Segoe UI" panose="020B0502040204020203" pitchFamily="34" charset="0"/>
              <a:ea typeface="Segoe UI Black" panose="020B0A02040204020203" pitchFamily="34" charset="0"/>
              <a:cs typeface="Segoe UI" panose="020B0502040204020203" pitchFamily="34" charset="0"/>
            </a:endParaRPr>
          </a:p>
        </xdr:txBody>
      </xdr:sp>
      <xdr:sp macro="" textlink="">
        <xdr:nvSpPr>
          <xdr:cNvPr id="21" name="TextBox 20">
            <a:extLst>
              <a:ext uri="{FF2B5EF4-FFF2-40B4-BE49-F238E27FC236}">
                <a16:creationId xmlns:a16="http://schemas.microsoft.com/office/drawing/2014/main" id="{83D63C19-39B6-436F-8F8C-FFBEAEC18363}"/>
              </a:ext>
            </a:extLst>
          </xdr:cNvPr>
          <xdr:cNvSpPr txBox="1"/>
        </xdr:nvSpPr>
        <xdr:spPr>
          <a:xfrm>
            <a:off x="12334344" y="1843988"/>
            <a:ext cx="4075349" cy="1023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rgbClr val="003060"/>
                </a:solidFill>
                <a:latin typeface="Segoe UI" panose="020B0502040204020203" pitchFamily="34" charset="0"/>
                <a:ea typeface="Segoe UI Black" panose="020B0A02040204020203" pitchFamily="34" charset="0"/>
                <a:cs typeface="Segoe UI" panose="020B0502040204020203" pitchFamily="34" charset="0"/>
              </a:rPr>
              <a:t>After  changes to 'Requirements' sheet, update the dashboard to reflect these changes.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a:solidFill>
                <a:srgbClr val="003060"/>
              </a:solidFill>
              <a:latin typeface="Segoe UI" panose="020B0502040204020203" pitchFamily="34" charset="0"/>
              <a:ea typeface="Segoe UI Black" panose="020B0A02040204020203"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rgbClr val="003060"/>
                </a:solidFill>
                <a:latin typeface="Segoe UI" panose="020B0502040204020203" pitchFamily="34" charset="0"/>
                <a:ea typeface="Segoe UI Black" panose="020B0A02040204020203" pitchFamily="34" charset="0"/>
                <a:cs typeface="Segoe UI" panose="020B0502040204020203" pitchFamily="34" charset="0"/>
              </a:rPr>
              <a:t>Select any of the charts on the dashboard, then navigate to "</a:t>
            </a:r>
            <a:r>
              <a:rPr lang="en-US" sz="1100" b="1">
                <a:solidFill>
                  <a:srgbClr val="003060"/>
                </a:solidFill>
                <a:latin typeface="Segoe UI" panose="020B0502040204020203" pitchFamily="34" charset="0"/>
                <a:ea typeface="Segoe UI Black" panose="020B0A02040204020203" pitchFamily="34" charset="0"/>
                <a:cs typeface="Segoe UI" panose="020B0502040204020203" pitchFamily="34" charset="0"/>
              </a:rPr>
              <a:t>PivotChart Analyze</a:t>
            </a:r>
            <a:r>
              <a:rPr lang="en-US" sz="1100" b="0">
                <a:solidFill>
                  <a:srgbClr val="003060"/>
                </a:solidFill>
                <a:latin typeface="Segoe UI" panose="020B0502040204020203" pitchFamily="34" charset="0"/>
                <a:ea typeface="Segoe UI Black" panose="020B0A02040204020203" pitchFamily="34" charset="0"/>
                <a:cs typeface="Segoe UI" panose="020B0502040204020203" pitchFamily="34" charset="0"/>
              </a:rPr>
              <a:t>" in the toolbar, and click "</a:t>
            </a:r>
            <a:r>
              <a:rPr lang="en-US" sz="1100" b="1">
                <a:solidFill>
                  <a:srgbClr val="003060"/>
                </a:solidFill>
                <a:latin typeface="Segoe UI" panose="020B0502040204020203" pitchFamily="34" charset="0"/>
                <a:ea typeface="Segoe UI Black" panose="020B0A02040204020203" pitchFamily="34" charset="0"/>
                <a:cs typeface="Segoe UI" panose="020B0502040204020203" pitchFamily="34" charset="0"/>
              </a:rPr>
              <a:t>Refresh</a:t>
            </a:r>
            <a:r>
              <a:rPr lang="en-US" sz="1100" b="0">
                <a:solidFill>
                  <a:srgbClr val="003060"/>
                </a:solidFill>
                <a:latin typeface="Segoe UI" panose="020B0502040204020203" pitchFamily="34" charset="0"/>
                <a:ea typeface="Segoe UI Black" panose="020B0A02040204020203" pitchFamily="34" charset="0"/>
                <a:cs typeface="Segoe UI" panose="020B0502040204020203" pitchFamily="34" charset="0"/>
              </a:rPr>
              <a:t>" followed by "</a:t>
            </a:r>
            <a:r>
              <a:rPr lang="en-US" sz="1100" b="1">
                <a:solidFill>
                  <a:srgbClr val="003060"/>
                </a:solidFill>
                <a:latin typeface="Segoe UI" panose="020B0502040204020203" pitchFamily="34" charset="0"/>
                <a:ea typeface="Segoe UI Black" panose="020B0A02040204020203" pitchFamily="34" charset="0"/>
                <a:cs typeface="Segoe UI" panose="020B0502040204020203" pitchFamily="34" charset="0"/>
              </a:rPr>
              <a:t>Refresh All</a:t>
            </a:r>
            <a:r>
              <a:rPr lang="en-US" sz="1100" b="0">
                <a:solidFill>
                  <a:srgbClr val="003060"/>
                </a:solidFill>
                <a:latin typeface="Segoe UI" panose="020B0502040204020203" pitchFamily="34" charset="0"/>
                <a:ea typeface="Segoe UI Black" panose="020B0A02040204020203" pitchFamily="34" charset="0"/>
                <a:cs typeface="Segoe UI" panose="020B0502040204020203" pitchFamily="34" charset="0"/>
              </a:rPr>
              <a:t>."</a:t>
            </a:r>
          </a:p>
        </xdr:txBody>
      </xdr:sp>
      <xdr:cxnSp macro="">
        <xdr:nvCxnSpPr>
          <xdr:cNvPr id="22" name="Straight Connector 21">
            <a:extLst>
              <a:ext uri="{FF2B5EF4-FFF2-40B4-BE49-F238E27FC236}">
                <a16:creationId xmlns:a16="http://schemas.microsoft.com/office/drawing/2014/main" id="{860D6B44-D50C-45D9-85DC-29657079727C}"/>
              </a:ext>
            </a:extLst>
          </xdr:cNvPr>
          <xdr:cNvCxnSpPr/>
        </xdr:nvCxnSpPr>
        <xdr:spPr>
          <a:xfrm>
            <a:off x="12407289" y="1774862"/>
            <a:ext cx="3945697" cy="492"/>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312964</xdr:colOff>
      <xdr:row>12</xdr:row>
      <xdr:rowOff>13607</xdr:rowOff>
    </xdr:from>
    <xdr:to>
      <xdr:col>19</xdr:col>
      <xdr:colOff>312964</xdr:colOff>
      <xdr:row>24</xdr:row>
      <xdr:rowOff>13606</xdr:rowOff>
    </xdr:to>
    <xdr:graphicFrame macro="">
      <xdr:nvGraphicFramePr>
        <xdr:cNvPr id="23" name="Chart 22">
          <a:extLst>
            <a:ext uri="{FF2B5EF4-FFF2-40B4-BE49-F238E27FC236}">
              <a16:creationId xmlns:a16="http://schemas.microsoft.com/office/drawing/2014/main" id="{090C94F5-B620-41F0-A0D0-EF9A15231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250371</xdr:colOff>
      <xdr:row>7</xdr:row>
      <xdr:rowOff>129267</xdr:rowOff>
    </xdr:from>
    <xdr:to>
      <xdr:col>18</xdr:col>
      <xdr:colOff>530678</xdr:colOff>
      <xdr:row>9</xdr:row>
      <xdr:rowOff>115662</xdr:rowOff>
    </xdr:to>
    <xdr:sp macro="" textlink="">
      <xdr:nvSpPr>
        <xdr:cNvPr id="25" name="TextBox 24">
          <a:extLst>
            <a:ext uri="{FF2B5EF4-FFF2-40B4-BE49-F238E27FC236}">
              <a16:creationId xmlns:a16="http://schemas.microsoft.com/office/drawing/2014/main" id="{2A089CCC-BFBE-4C0D-8C51-D0C35089F883}"/>
            </a:ext>
          </a:extLst>
        </xdr:cNvPr>
        <xdr:cNvSpPr txBox="1"/>
      </xdr:nvSpPr>
      <xdr:spPr>
        <a:xfrm>
          <a:off x="5148942" y="1462767"/>
          <a:ext cx="6403522" cy="36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3060"/>
              </a:solidFill>
              <a:latin typeface="Segoe UI Black" panose="020B0A02040204020203" pitchFamily="34" charset="0"/>
              <a:ea typeface="Segoe UI Black" panose="020B0A02040204020203" pitchFamily="34" charset="0"/>
            </a:rPr>
            <a:t>Maturity Score</a:t>
          </a:r>
          <a:r>
            <a:rPr lang="en-US" sz="1600" b="1" baseline="0">
              <a:solidFill>
                <a:srgbClr val="003060"/>
              </a:solidFill>
              <a:latin typeface="Segoe UI Black" panose="020B0A02040204020203" pitchFamily="34" charset="0"/>
              <a:ea typeface="Segoe UI Black" panose="020B0A02040204020203" pitchFamily="34" charset="0"/>
            </a:rPr>
            <a:t> by Function</a:t>
          </a:r>
          <a:endParaRPr lang="en-US" sz="1600" b="1">
            <a:solidFill>
              <a:srgbClr val="003060"/>
            </a:solidFill>
            <a:latin typeface="Segoe UI Black" panose="020B0A02040204020203" pitchFamily="34" charset="0"/>
            <a:ea typeface="Segoe UI Black" panose="020B0A02040204020203" pitchFamily="34" charset="0"/>
          </a:endParaRPr>
        </a:p>
      </xdr:txBody>
    </xdr:sp>
    <xdr:clientData/>
  </xdr:twoCellAnchor>
  <xdr:twoCellAnchor>
    <xdr:from>
      <xdr:col>8</xdr:col>
      <xdr:colOff>285749</xdr:colOff>
      <xdr:row>11</xdr:row>
      <xdr:rowOff>105089</xdr:rowOff>
    </xdr:from>
    <xdr:to>
      <xdr:col>18</xdr:col>
      <xdr:colOff>563334</xdr:colOff>
      <xdr:row>11</xdr:row>
      <xdr:rowOff>108857</xdr:rowOff>
    </xdr:to>
    <xdr:cxnSp macro="">
      <xdr:nvCxnSpPr>
        <xdr:cNvPr id="26" name="Straight Connector 25">
          <a:extLst>
            <a:ext uri="{FF2B5EF4-FFF2-40B4-BE49-F238E27FC236}">
              <a16:creationId xmlns:a16="http://schemas.microsoft.com/office/drawing/2014/main" id="{9D6FF9E0-102C-4BC9-89C3-C3D1E363D5B2}"/>
            </a:ext>
          </a:extLst>
        </xdr:cNvPr>
        <xdr:cNvCxnSpPr/>
      </xdr:nvCxnSpPr>
      <xdr:spPr>
        <a:xfrm>
          <a:off x="5184320" y="2200589"/>
          <a:ext cx="6400800" cy="376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302079</xdr:colOff>
      <xdr:row>9</xdr:row>
      <xdr:rowOff>92511</xdr:rowOff>
    </xdr:from>
    <xdr:to>
      <xdr:col>18</xdr:col>
      <xdr:colOff>449036</xdr:colOff>
      <xdr:row>11</xdr:row>
      <xdr:rowOff>78906</xdr:rowOff>
    </xdr:to>
    <xdr:sp macro="" textlink="">
      <xdr:nvSpPr>
        <xdr:cNvPr id="27" name="TextBox 26">
          <a:extLst>
            <a:ext uri="{FF2B5EF4-FFF2-40B4-BE49-F238E27FC236}">
              <a16:creationId xmlns:a16="http://schemas.microsoft.com/office/drawing/2014/main" id="{84A128A6-9DC6-4B1E-BDE2-DFCEA2868974}"/>
            </a:ext>
          </a:extLst>
        </xdr:cNvPr>
        <xdr:cNvSpPr txBox="1"/>
      </xdr:nvSpPr>
      <xdr:spPr>
        <a:xfrm>
          <a:off x="5200650" y="1807011"/>
          <a:ext cx="6270172" cy="36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a:solidFill>
                <a:srgbClr val="003060"/>
              </a:solidFill>
              <a:latin typeface="Segoe UI" panose="020B0502040204020203" pitchFamily="34" charset="0"/>
              <a:ea typeface="Segoe UI Black" panose="020B0A02040204020203" pitchFamily="34" charset="0"/>
              <a:cs typeface="Segoe UI" panose="020B0502040204020203" pitchFamily="34" charset="0"/>
            </a:rPr>
            <a:t>Shows the average of the maturity scores by each Function</a:t>
          </a:r>
        </a:p>
      </xdr:txBody>
    </xdr:sp>
    <xdr:clientData/>
  </xdr:twoCellAnchor>
  <xdr:twoCellAnchor>
    <xdr:from>
      <xdr:col>1</xdr:col>
      <xdr:colOff>542685</xdr:colOff>
      <xdr:row>26</xdr:row>
      <xdr:rowOff>121663</xdr:rowOff>
    </xdr:from>
    <xdr:to>
      <xdr:col>13</xdr:col>
      <xdr:colOff>345782</xdr:colOff>
      <xdr:row>68</xdr:row>
      <xdr:rowOff>44824</xdr:rowOff>
    </xdr:to>
    <xdr:sp macro="" textlink="">
      <xdr:nvSpPr>
        <xdr:cNvPr id="30" name="Rectangle: Rounded Corners 29">
          <a:extLst>
            <a:ext uri="{FF2B5EF4-FFF2-40B4-BE49-F238E27FC236}">
              <a16:creationId xmlns:a16="http://schemas.microsoft.com/office/drawing/2014/main" id="{53878FFB-B294-4181-9F85-7B01143610DB}"/>
            </a:ext>
          </a:extLst>
        </xdr:cNvPr>
        <xdr:cNvSpPr/>
      </xdr:nvSpPr>
      <xdr:spPr>
        <a:xfrm>
          <a:off x="1147803" y="5074663"/>
          <a:ext cx="7064508" cy="7924161"/>
        </a:xfrm>
        <a:prstGeom prst="roundRect">
          <a:avLst>
            <a:gd name="adj" fmla="val 185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106296</xdr:colOff>
      <xdr:row>27</xdr:row>
      <xdr:rowOff>6002</xdr:rowOff>
    </xdr:from>
    <xdr:to>
      <xdr:col>12</xdr:col>
      <xdr:colOff>386603</xdr:colOff>
      <xdr:row>28</xdr:row>
      <xdr:rowOff>182897</xdr:rowOff>
    </xdr:to>
    <xdr:sp macro="" textlink="">
      <xdr:nvSpPr>
        <xdr:cNvPr id="31" name="TextBox 30">
          <a:extLst>
            <a:ext uri="{FF2B5EF4-FFF2-40B4-BE49-F238E27FC236}">
              <a16:creationId xmlns:a16="http://schemas.microsoft.com/office/drawing/2014/main" id="{2C2A72B6-051D-4BDA-961C-F4DB32922C3F}"/>
            </a:ext>
          </a:extLst>
        </xdr:cNvPr>
        <xdr:cNvSpPr txBox="1"/>
      </xdr:nvSpPr>
      <xdr:spPr>
        <a:xfrm>
          <a:off x="1316531" y="5149502"/>
          <a:ext cx="6331484" cy="36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3060"/>
              </a:solidFill>
              <a:latin typeface="Segoe UI Black" panose="020B0A02040204020203" pitchFamily="34" charset="0"/>
              <a:ea typeface="Segoe UI Black" panose="020B0A02040204020203" pitchFamily="34" charset="0"/>
            </a:rPr>
            <a:t>Maturity Score</a:t>
          </a:r>
          <a:r>
            <a:rPr lang="en-US" sz="1600" b="1" baseline="0">
              <a:solidFill>
                <a:srgbClr val="003060"/>
              </a:solidFill>
              <a:latin typeface="Segoe UI Black" panose="020B0A02040204020203" pitchFamily="34" charset="0"/>
              <a:ea typeface="Segoe UI Black" panose="020B0A02040204020203" pitchFamily="34" charset="0"/>
            </a:rPr>
            <a:t> by Categories</a:t>
          </a:r>
          <a:endParaRPr lang="en-US" sz="1600" b="1">
            <a:solidFill>
              <a:srgbClr val="003060"/>
            </a:solidFill>
            <a:latin typeface="Segoe UI Black" panose="020B0A02040204020203" pitchFamily="34" charset="0"/>
            <a:ea typeface="Segoe UI Black" panose="020B0A02040204020203" pitchFamily="34" charset="0"/>
          </a:endParaRPr>
        </a:p>
      </xdr:txBody>
    </xdr:sp>
    <xdr:clientData/>
  </xdr:twoCellAnchor>
  <xdr:twoCellAnchor>
    <xdr:from>
      <xdr:col>2</xdr:col>
      <xdr:colOff>141674</xdr:colOff>
      <xdr:row>30</xdr:row>
      <xdr:rowOff>172324</xdr:rowOff>
    </xdr:from>
    <xdr:to>
      <xdr:col>12</xdr:col>
      <xdr:colOff>419259</xdr:colOff>
      <xdr:row>30</xdr:row>
      <xdr:rowOff>176092</xdr:rowOff>
    </xdr:to>
    <xdr:cxnSp macro="">
      <xdr:nvCxnSpPr>
        <xdr:cNvPr id="32" name="Straight Connector 31">
          <a:extLst>
            <a:ext uri="{FF2B5EF4-FFF2-40B4-BE49-F238E27FC236}">
              <a16:creationId xmlns:a16="http://schemas.microsoft.com/office/drawing/2014/main" id="{CDBE789A-3331-478C-A66F-42D0E822AC49}"/>
            </a:ext>
          </a:extLst>
        </xdr:cNvPr>
        <xdr:cNvCxnSpPr/>
      </xdr:nvCxnSpPr>
      <xdr:spPr>
        <a:xfrm>
          <a:off x="1351909" y="5887324"/>
          <a:ext cx="6328762" cy="376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158004</xdr:colOff>
      <xdr:row>28</xdr:row>
      <xdr:rowOff>159746</xdr:rowOff>
    </xdr:from>
    <xdr:to>
      <xdr:col>8</xdr:col>
      <xdr:colOff>459441</xdr:colOff>
      <xdr:row>30</xdr:row>
      <xdr:rowOff>146141</xdr:rowOff>
    </xdr:to>
    <xdr:sp macro="" textlink="">
      <xdr:nvSpPr>
        <xdr:cNvPr id="33" name="TextBox 32">
          <a:extLst>
            <a:ext uri="{FF2B5EF4-FFF2-40B4-BE49-F238E27FC236}">
              <a16:creationId xmlns:a16="http://schemas.microsoft.com/office/drawing/2014/main" id="{67B88BA5-3F58-44D0-B8DD-711F0466BF66}"/>
            </a:ext>
          </a:extLst>
        </xdr:cNvPr>
        <xdr:cNvSpPr txBox="1"/>
      </xdr:nvSpPr>
      <xdr:spPr>
        <a:xfrm>
          <a:off x="1368239" y="5493746"/>
          <a:ext cx="3932143" cy="36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a:solidFill>
                <a:srgbClr val="003060"/>
              </a:solidFill>
              <a:latin typeface="Segoe UI" panose="020B0502040204020203" pitchFamily="34" charset="0"/>
              <a:ea typeface="Segoe UI Black" panose="020B0A02040204020203" pitchFamily="34" charset="0"/>
              <a:cs typeface="Segoe UI" panose="020B0502040204020203" pitchFamily="34" charset="0"/>
            </a:rPr>
            <a:t>Shows the average of the maturity scores by each category</a:t>
          </a:r>
        </a:p>
      </xdr:txBody>
    </xdr:sp>
    <xdr:clientData/>
  </xdr:twoCellAnchor>
  <xdr:twoCellAnchor>
    <xdr:from>
      <xdr:col>2</xdr:col>
      <xdr:colOff>52588</xdr:colOff>
      <xdr:row>31</xdr:row>
      <xdr:rowOff>114380</xdr:rowOff>
    </xdr:from>
    <xdr:to>
      <xdr:col>12</xdr:col>
      <xdr:colOff>526676</xdr:colOff>
      <xdr:row>65</xdr:row>
      <xdr:rowOff>0</xdr:rowOff>
    </xdr:to>
    <xdr:graphicFrame macro="">
      <xdr:nvGraphicFramePr>
        <xdr:cNvPr id="34" name="Chart 33">
          <a:extLst>
            <a:ext uri="{FF2B5EF4-FFF2-40B4-BE49-F238E27FC236}">
              <a16:creationId xmlns:a16="http://schemas.microsoft.com/office/drawing/2014/main" id="{A18EA8CA-3A8A-4C0C-9617-91833E9EA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576302</xdr:colOff>
      <xdr:row>26</xdr:row>
      <xdr:rowOff>132869</xdr:rowOff>
    </xdr:from>
    <xdr:to>
      <xdr:col>27</xdr:col>
      <xdr:colOff>537882</xdr:colOff>
      <xdr:row>68</xdr:row>
      <xdr:rowOff>56030</xdr:rowOff>
    </xdr:to>
    <xdr:sp macro="" textlink="">
      <xdr:nvSpPr>
        <xdr:cNvPr id="35" name="Rectangle: Rounded Corners 34">
          <a:extLst>
            <a:ext uri="{FF2B5EF4-FFF2-40B4-BE49-F238E27FC236}">
              <a16:creationId xmlns:a16="http://schemas.microsoft.com/office/drawing/2014/main" id="{CF6F6723-7A70-64D5-6EFD-C487CE088124}"/>
            </a:ext>
          </a:extLst>
        </xdr:cNvPr>
        <xdr:cNvSpPr/>
      </xdr:nvSpPr>
      <xdr:spPr>
        <a:xfrm>
          <a:off x="8442831" y="5085869"/>
          <a:ext cx="8433227" cy="7924161"/>
        </a:xfrm>
        <a:prstGeom prst="roundRect">
          <a:avLst>
            <a:gd name="adj" fmla="val 185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139913</xdr:colOff>
      <xdr:row>27</xdr:row>
      <xdr:rowOff>17208</xdr:rowOff>
    </xdr:from>
    <xdr:to>
      <xdr:col>24</xdr:col>
      <xdr:colOff>420220</xdr:colOff>
      <xdr:row>29</xdr:row>
      <xdr:rowOff>3603</xdr:rowOff>
    </xdr:to>
    <xdr:sp macro="" textlink="">
      <xdr:nvSpPr>
        <xdr:cNvPr id="36" name="TextBox 35">
          <a:extLst>
            <a:ext uri="{FF2B5EF4-FFF2-40B4-BE49-F238E27FC236}">
              <a16:creationId xmlns:a16="http://schemas.microsoft.com/office/drawing/2014/main" id="{CB719604-D980-2ADF-034F-3D853BE755D6}"/>
            </a:ext>
          </a:extLst>
        </xdr:cNvPr>
        <xdr:cNvSpPr txBox="1"/>
      </xdr:nvSpPr>
      <xdr:spPr>
        <a:xfrm>
          <a:off x="8611560" y="5160708"/>
          <a:ext cx="6331484" cy="36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3060"/>
              </a:solidFill>
              <a:latin typeface="Segoe UI Black" panose="020B0A02040204020203" pitchFamily="34" charset="0"/>
              <a:ea typeface="Segoe UI Black" panose="020B0A02040204020203" pitchFamily="34" charset="0"/>
            </a:rPr>
            <a:t>Current vs Target scores</a:t>
          </a:r>
        </a:p>
      </xdr:txBody>
    </xdr:sp>
    <xdr:clientData/>
  </xdr:twoCellAnchor>
  <xdr:twoCellAnchor>
    <xdr:from>
      <xdr:col>14</xdr:col>
      <xdr:colOff>175291</xdr:colOff>
      <xdr:row>30</xdr:row>
      <xdr:rowOff>183530</xdr:rowOff>
    </xdr:from>
    <xdr:to>
      <xdr:col>27</xdr:col>
      <xdr:colOff>264042</xdr:colOff>
      <xdr:row>30</xdr:row>
      <xdr:rowOff>187298</xdr:rowOff>
    </xdr:to>
    <xdr:cxnSp macro="">
      <xdr:nvCxnSpPr>
        <xdr:cNvPr id="37" name="Straight Connector 36">
          <a:extLst>
            <a:ext uri="{FF2B5EF4-FFF2-40B4-BE49-F238E27FC236}">
              <a16:creationId xmlns:a16="http://schemas.microsoft.com/office/drawing/2014/main" id="{FBCCC4FD-7563-4E65-DDF7-B901CA20C695}"/>
            </a:ext>
          </a:extLst>
        </xdr:cNvPr>
        <xdr:cNvCxnSpPr/>
      </xdr:nvCxnSpPr>
      <xdr:spPr>
        <a:xfrm>
          <a:off x="8646938" y="5898530"/>
          <a:ext cx="7955280" cy="376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191621</xdr:colOff>
      <xdr:row>28</xdr:row>
      <xdr:rowOff>170952</xdr:rowOff>
    </xdr:from>
    <xdr:to>
      <xdr:col>22</xdr:col>
      <xdr:colOff>392206</xdr:colOff>
      <xdr:row>30</xdr:row>
      <xdr:rowOff>157347</xdr:rowOff>
    </xdr:to>
    <xdr:sp macro="" textlink="">
      <xdr:nvSpPr>
        <xdr:cNvPr id="38" name="TextBox 37">
          <a:extLst>
            <a:ext uri="{FF2B5EF4-FFF2-40B4-BE49-F238E27FC236}">
              <a16:creationId xmlns:a16="http://schemas.microsoft.com/office/drawing/2014/main" id="{2B27DD3D-C9D4-AAA9-15F4-42EE94AE282C}"/>
            </a:ext>
          </a:extLst>
        </xdr:cNvPr>
        <xdr:cNvSpPr txBox="1"/>
      </xdr:nvSpPr>
      <xdr:spPr>
        <a:xfrm>
          <a:off x="8663268" y="5504952"/>
          <a:ext cx="5041526" cy="36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a:solidFill>
                <a:srgbClr val="003060"/>
              </a:solidFill>
              <a:latin typeface="Segoe UI" panose="020B0502040204020203" pitchFamily="34" charset="0"/>
              <a:ea typeface="Segoe UI Black" panose="020B0A02040204020203" pitchFamily="34" charset="0"/>
              <a:cs typeface="Segoe UI" panose="020B0502040204020203" pitchFamily="34" charset="0"/>
            </a:rPr>
            <a:t>Compares</a:t>
          </a:r>
          <a:r>
            <a:rPr lang="en-US" sz="1100" b="0" baseline="0">
              <a:solidFill>
                <a:srgbClr val="003060"/>
              </a:solidFill>
              <a:latin typeface="Segoe UI" panose="020B0502040204020203" pitchFamily="34" charset="0"/>
              <a:ea typeface="Segoe UI Black" panose="020B0A02040204020203" pitchFamily="34" charset="0"/>
              <a:cs typeface="Segoe UI" panose="020B0502040204020203" pitchFamily="34" charset="0"/>
            </a:rPr>
            <a:t> the scores against each Function to its target state</a:t>
          </a:r>
          <a:endParaRPr lang="en-US" sz="1100" b="0">
            <a:solidFill>
              <a:srgbClr val="003060"/>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14</xdr:col>
      <xdr:colOff>190500</xdr:colOff>
      <xdr:row>31</xdr:row>
      <xdr:rowOff>67234</xdr:rowOff>
    </xdr:from>
    <xdr:to>
      <xdr:col>26</xdr:col>
      <xdr:colOff>537882</xdr:colOff>
      <xdr:row>66</xdr:row>
      <xdr:rowOff>145675</xdr:rowOff>
    </xdr:to>
    <xdr:graphicFrame macro="">
      <xdr:nvGraphicFramePr>
        <xdr:cNvPr id="39" name="Chart 38">
          <a:extLst>
            <a:ext uri="{FF2B5EF4-FFF2-40B4-BE49-F238E27FC236}">
              <a16:creationId xmlns:a16="http://schemas.microsoft.com/office/drawing/2014/main" id="{B7507D76-19FB-4114-9DFE-BCC878D39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333375</xdr:colOff>
      <xdr:row>0</xdr:row>
      <xdr:rowOff>0</xdr:rowOff>
    </xdr:from>
    <xdr:to>
      <xdr:col>18</xdr:col>
      <xdr:colOff>246530</xdr:colOff>
      <xdr:row>5</xdr:row>
      <xdr:rowOff>36419</xdr:rowOff>
    </xdr:to>
    <xdr:grpSp>
      <xdr:nvGrpSpPr>
        <xdr:cNvPr id="2" name="Group 1">
          <a:extLst>
            <a:ext uri="{FF2B5EF4-FFF2-40B4-BE49-F238E27FC236}">
              <a16:creationId xmlns:a16="http://schemas.microsoft.com/office/drawing/2014/main" id="{9FB807EC-765C-4991-8207-922E589EA854}"/>
            </a:ext>
          </a:extLst>
        </xdr:cNvPr>
        <xdr:cNvGrpSpPr>
          <a:grpSpLocks noChangeAspect="1"/>
        </xdr:cNvGrpSpPr>
      </xdr:nvGrpSpPr>
      <xdr:grpSpPr>
        <a:xfrm>
          <a:off x="333375" y="0"/>
          <a:ext cx="12672920" cy="1044948"/>
          <a:chOff x="104776" y="0"/>
          <a:chExt cx="12020550" cy="941294"/>
        </a:xfrm>
      </xdr:grpSpPr>
      <xdr:sp macro="" textlink="">
        <xdr:nvSpPr>
          <xdr:cNvPr id="3" name="Rectangle: Rounded Corners 2">
            <a:extLst>
              <a:ext uri="{FF2B5EF4-FFF2-40B4-BE49-F238E27FC236}">
                <a16:creationId xmlns:a16="http://schemas.microsoft.com/office/drawing/2014/main" id="{49D0D100-8E6D-A03D-CF02-4787F341AEAA}"/>
              </a:ext>
            </a:extLst>
          </xdr:cNvPr>
          <xdr:cNvSpPr/>
        </xdr:nvSpPr>
        <xdr:spPr>
          <a:xfrm>
            <a:off x="104776" y="254694"/>
            <a:ext cx="1885950" cy="459681"/>
          </a:xfrm>
          <a:prstGeom prst="roundRect">
            <a:avLst/>
          </a:prstGeom>
          <a:gradFill flip="none" rotWithShape="1">
            <a:gsLst>
              <a:gs pos="0">
                <a:srgbClr val="055C9D"/>
              </a:gs>
              <a:gs pos="50000">
                <a:srgbClr val="0E86D4"/>
              </a:gs>
              <a:gs pos="100000">
                <a:schemeClr val="accent1">
                  <a:shade val="100000"/>
                  <a:satMod val="115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lt1"/>
                </a:solidFill>
                <a:effectLst/>
                <a:latin typeface="Segoe UI" panose="020B0502040204020203" pitchFamily="34" charset="0"/>
                <a:ea typeface="+mn-ea"/>
                <a:cs typeface="Segoe UI" panose="020B0502040204020203" pitchFamily="34" charset="0"/>
              </a:rPr>
              <a:t>allab</a:t>
            </a:r>
            <a:r>
              <a:rPr lang="en-US" sz="1600" b="1" baseline="0">
                <a:solidFill>
                  <a:schemeClr val="lt1"/>
                </a:solidFill>
                <a:effectLst/>
                <a:latin typeface="Segoe UI" panose="020B0502040204020203" pitchFamily="34" charset="0"/>
                <a:ea typeface="+mn-ea"/>
                <a:cs typeface="Segoe UI" panose="020B0502040204020203" pitchFamily="34" charset="0"/>
              </a:rPr>
              <a:t>outgrc.com</a:t>
            </a:r>
            <a:endParaRPr lang="en-US" sz="4800" b="1">
              <a:effectLst/>
              <a:latin typeface="Segoe UI" panose="020B0502040204020203" pitchFamily="34" charset="0"/>
              <a:cs typeface="Segoe UI" panose="020B0502040204020203" pitchFamily="34" charset="0"/>
            </a:endParaRPr>
          </a:p>
        </xdr:txBody>
      </xdr:sp>
      <xdr:sp macro="" textlink="">
        <xdr:nvSpPr>
          <xdr:cNvPr id="4" name="Rectangle 3">
            <a:extLst>
              <a:ext uri="{FF2B5EF4-FFF2-40B4-BE49-F238E27FC236}">
                <a16:creationId xmlns:a16="http://schemas.microsoft.com/office/drawing/2014/main" id="{BBEF3218-21FC-DB9C-533C-45BBCC6F61AE}"/>
              </a:ext>
            </a:extLst>
          </xdr:cNvPr>
          <xdr:cNvSpPr/>
        </xdr:nvSpPr>
        <xdr:spPr>
          <a:xfrm>
            <a:off x="2190751" y="0"/>
            <a:ext cx="9934575" cy="9412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3600" b="1">
                <a:solidFill>
                  <a:srgbClr val="055C9D"/>
                </a:solidFill>
                <a:effectLst/>
                <a:latin typeface="Segoe UI" panose="020B0502040204020203" pitchFamily="34" charset="0"/>
                <a:ea typeface="+mn-ea"/>
                <a:cs typeface="Segoe UI" panose="020B0502040204020203" pitchFamily="34" charset="0"/>
              </a:rPr>
              <a:t>NIST CSF 2</a:t>
            </a:r>
            <a:r>
              <a:rPr lang="en-US" sz="3600" b="1" baseline="0">
                <a:solidFill>
                  <a:srgbClr val="055C9D"/>
                </a:solidFill>
                <a:effectLst/>
                <a:latin typeface="Segoe UI" panose="020B0502040204020203" pitchFamily="34" charset="0"/>
                <a:ea typeface="+mn-ea"/>
                <a:cs typeface="Segoe UI" panose="020B0502040204020203" pitchFamily="34" charset="0"/>
              </a:rPr>
              <a:t>.0 Maturity Assessment</a:t>
            </a:r>
            <a:r>
              <a:rPr lang="en-US" sz="3600" b="1">
                <a:solidFill>
                  <a:srgbClr val="055C9D"/>
                </a:solidFill>
                <a:effectLst/>
                <a:latin typeface="Segoe UI" panose="020B0502040204020203" pitchFamily="34" charset="0"/>
                <a:ea typeface="+mn-ea"/>
                <a:cs typeface="Segoe UI" panose="020B0502040204020203" pitchFamily="34" charset="0"/>
              </a:rPr>
              <a:t> </a:t>
            </a:r>
            <a:endParaRPr lang="en-US" sz="3600" b="1">
              <a:solidFill>
                <a:srgbClr val="055C9D"/>
              </a:solidFill>
              <a:effectLst/>
              <a:latin typeface="Segoe UI" panose="020B0502040204020203" pitchFamily="34" charset="0"/>
              <a:cs typeface="Segoe UI" panose="020B0502040204020203" pitchFamily="34"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145175</xdr:colOff>
      <xdr:row>0</xdr:row>
      <xdr:rowOff>31750</xdr:rowOff>
    </xdr:from>
    <xdr:to>
      <xdr:col>4</xdr:col>
      <xdr:colOff>2851151</xdr:colOff>
      <xdr:row>1</xdr:row>
      <xdr:rowOff>39594</xdr:rowOff>
    </xdr:to>
    <xdr:sp macro="" textlink="">
      <xdr:nvSpPr>
        <xdr:cNvPr id="4" name="Rectangle 3">
          <a:extLst>
            <a:ext uri="{FF2B5EF4-FFF2-40B4-BE49-F238E27FC236}">
              <a16:creationId xmlns:a16="http://schemas.microsoft.com/office/drawing/2014/main" id="{5422FDE1-D3C2-C765-E603-F6890DFE610F}"/>
            </a:ext>
          </a:extLst>
        </xdr:cNvPr>
        <xdr:cNvSpPr/>
      </xdr:nvSpPr>
      <xdr:spPr>
        <a:xfrm>
          <a:off x="145175" y="31750"/>
          <a:ext cx="10338676" cy="9412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3600" b="1">
              <a:solidFill>
                <a:srgbClr val="055C9D"/>
              </a:solidFill>
              <a:effectLst/>
              <a:latin typeface="Segoe UI" panose="020B0502040204020203" pitchFamily="34" charset="0"/>
              <a:ea typeface="+mn-ea"/>
              <a:cs typeface="Segoe UI" panose="020B0502040204020203" pitchFamily="34" charset="0"/>
            </a:rPr>
            <a:t>NIST CSF 2</a:t>
          </a:r>
          <a:r>
            <a:rPr lang="en-US" sz="3600" b="1" baseline="0">
              <a:solidFill>
                <a:srgbClr val="055C9D"/>
              </a:solidFill>
              <a:effectLst/>
              <a:latin typeface="Segoe UI" panose="020B0502040204020203" pitchFamily="34" charset="0"/>
              <a:ea typeface="+mn-ea"/>
              <a:cs typeface="Segoe UI" panose="020B0502040204020203" pitchFamily="34" charset="0"/>
            </a:rPr>
            <a:t>.0 Maturity Assessment</a:t>
          </a:r>
          <a:r>
            <a:rPr lang="en-US" sz="3600" b="1">
              <a:solidFill>
                <a:srgbClr val="055C9D"/>
              </a:solidFill>
              <a:effectLst/>
              <a:latin typeface="Segoe UI" panose="020B0502040204020203" pitchFamily="34" charset="0"/>
              <a:ea typeface="+mn-ea"/>
              <a:cs typeface="Segoe UI" panose="020B0502040204020203" pitchFamily="34" charset="0"/>
            </a:rPr>
            <a:t> </a:t>
          </a:r>
          <a:endParaRPr lang="en-US" sz="3600" b="1">
            <a:solidFill>
              <a:srgbClr val="055C9D"/>
            </a:solidFill>
            <a:effectLst/>
            <a:latin typeface="Segoe UI" panose="020B0502040204020203" pitchFamily="34" charset="0"/>
            <a:cs typeface="Segoe UI" panose="020B0502040204020203"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200025</xdr:colOff>
      <xdr:row>0</xdr:row>
      <xdr:rowOff>0</xdr:rowOff>
    </xdr:from>
    <xdr:to>
      <xdr:col>11</xdr:col>
      <xdr:colOff>66675</xdr:colOff>
      <xdr:row>1</xdr:row>
      <xdr:rowOff>465044</xdr:rowOff>
    </xdr:to>
    <xdr:grpSp>
      <xdr:nvGrpSpPr>
        <xdr:cNvPr id="2" name="Group 1">
          <a:extLst>
            <a:ext uri="{FF2B5EF4-FFF2-40B4-BE49-F238E27FC236}">
              <a16:creationId xmlns:a16="http://schemas.microsoft.com/office/drawing/2014/main" id="{0F712A4F-4A50-4CBB-BF9E-4A51B4A42D51}"/>
            </a:ext>
          </a:extLst>
        </xdr:cNvPr>
        <xdr:cNvGrpSpPr>
          <a:grpSpLocks noChangeAspect="1"/>
        </xdr:cNvGrpSpPr>
      </xdr:nvGrpSpPr>
      <xdr:grpSpPr>
        <a:xfrm>
          <a:off x="200025" y="0"/>
          <a:ext cx="12623800" cy="941294"/>
          <a:chOff x="104776" y="0"/>
          <a:chExt cx="12020550" cy="941294"/>
        </a:xfrm>
      </xdr:grpSpPr>
      <xdr:sp macro="" textlink="">
        <xdr:nvSpPr>
          <xdr:cNvPr id="3" name="Rectangle: Rounded Corners 2">
            <a:extLst>
              <a:ext uri="{FF2B5EF4-FFF2-40B4-BE49-F238E27FC236}">
                <a16:creationId xmlns:a16="http://schemas.microsoft.com/office/drawing/2014/main" id="{626FAB3B-523D-E0B2-ECB0-73DA52BF7B82}"/>
              </a:ext>
            </a:extLst>
          </xdr:cNvPr>
          <xdr:cNvSpPr/>
        </xdr:nvSpPr>
        <xdr:spPr>
          <a:xfrm>
            <a:off x="104776" y="254694"/>
            <a:ext cx="1885950" cy="459681"/>
          </a:xfrm>
          <a:prstGeom prst="roundRect">
            <a:avLst/>
          </a:prstGeom>
          <a:gradFill flip="none" rotWithShape="1">
            <a:gsLst>
              <a:gs pos="0">
                <a:srgbClr val="055C9D"/>
              </a:gs>
              <a:gs pos="50000">
                <a:srgbClr val="0E86D4"/>
              </a:gs>
              <a:gs pos="100000">
                <a:schemeClr val="accent1">
                  <a:shade val="100000"/>
                  <a:satMod val="115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lt1"/>
                </a:solidFill>
                <a:effectLst/>
                <a:latin typeface="Segoe UI" panose="020B0502040204020203" pitchFamily="34" charset="0"/>
                <a:ea typeface="+mn-ea"/>
                <a:cs typeface="Segoe UI" panose="020B0502040204020203" pitchFamily="34" charset="0"/>
              </a:rPr>
              <a:t>allab</a:t>
            </a:r>
            <a:r>
              <a:rPr lang="en-US" sz="1600" b="1" baseline="0">
                <a:solidFill>
                  <a:schemeClr val="lt1"/>
                </a:solidFill>
                <a:effectLst/>
                <a:latin typeface="Segoe UI" panose="020B0502040204020203" pitchFamily="34" charset="0"/>
                <a:ea typeface="+mn-ea"/>
                <a:cs typeface="Segoe UI" panose="020B0502040204020203" pitchFamily="34" charset="0"/>
              </a:rPr>
              <a:t>outgrc.com</a:t>
            </a:r>
            <a:endParaRPr lang="en-US" sz="4800" b="1">
              <a:effectLst/>
              <a:latin typeface="Segoe UI" panose="020B0502040204020203" pitchFamily="34" charset="0"/>
              <a:cs typeface="Segoe UI" panose="020B0502040204020203" pitchFamily="34" charset="0"/>
            </a:endParaRPr>
          </a:p>
        </xdr:txBody>
      </xdr:sp>
      <xdr:sp macro="" textlink="">
        <xdr:nvSpPr>
          <xdr:cNvPr id="4" name="Rectangle 3">
            <a:extLst>
              <a:ext uri="{FF2B5EF4-FFF2-40B4-BE49-F238E27FC236}">
                <a16:creationId xmlns:a16="http://schemas.microsoft.com/office/drawing/2014/main" id="{459D9E78-E566-8D49-71A9-E1172C3B5215}"/>
              </a:ext>
            </a:extLst>
          </xdr:cNvPr>
          <xdr:cNvSpPr/>
        </xdr:nvSpPr>
        <xdr:spPr>
          <a:xfrm>
            <a:off x="2190751" y="0"/>
            <a:ext cx="9934575" cy="9412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3600" b="1">
                <a:solidFill>
                  <a:srgbClr val="055C9D"/>
                </a:solidFill>
                <a:effectLst/>
                <a:latin typeface="Segoe UI" panose="020B0502040204020203" pitchFamily="34" charset="0"/>
                <a:ea typeface="+mn-ea"/>
                <a:cs typeface="Segoe UI" panose="020B0502040204020203" pitchFamily="34" charset="0"/>
              </a:rPr>
              <a:t>NIST CSF 2</a:t>
            </a:r>
            <a:r>
              <a:rPr lang="en-US" sz="3600" b="1" baseline="0">
                <a:solidFill>
                  <a:srgbClr val="055C9D"/>
                </a:solidFill>
                <a:effectLst/>
                <a:latin typeface="Segoe UI" panose="020B0502040204020203" pitchFamily="34" charset="0"/>
                <a:ea typeface="+mn-ea"/>
                <a:cs typeface="Segoe UI" panose="020B0502040204020203" pitchFamily="34" charset="0"/>
              </a:rPr>
              <a:t>.0 Maturity Assessment</a:t>
            </a:r>
            <a:r>
              <a:rPr lang="en-US" sz="3600" b="1">
                <a:solidFill>
                  <a:srgbClr val="055C9D"/>
                </a:solidFill>
                <a:effectLst/>
                <a:latin typeface="Segoe UI" panose="020B0502040204020203" pitchFamily="34" charset="0"/>
                <a:ea typeface="+mn-ea"/>
                <a:cs typeface="Segoe UI" panose="020B0502040204020203" pitchFamily="34" charset="0"/>
              </a:rPr>
              <a:t> </a:t>
            </a:r>
            <a:endParaRPr lang="en-US" sz="3600" b="1">
              <a:solidFill>
                <a:srgbClr val="055C9D"/>
              </a:solidFill>
              <a:effectLst/>
              <a:latin typeface="Segoe UI" panose="020B0502040204020203" pitchFamily="34" charset="0"/>
              <a:cs typeface="Segoe UI" panose="020B0502040204020203" pitchFamily="34" charset="0"/>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 Sivadasan" refreshedDate="45559.935032870373" createdVersion="8" refreshedVersion="8" minRefreshableVersion="3" recordCount="106" xr:uid="{C298CF2F-0109-4A21-BDEE-45C8EAE2038F}">
  <cacheSource type="worksheet">
    <worksheetSource ref="A2:L108" sheet="Requirements"/>
  </cacheSource>
  <cacheFields count="12">
    <cacheField name="Function" numFmtId="0">
      <sharedItems count="6">
        <s v="GOVERN (GV)"/>
        <s v="IDENTIFY (ID)"/>
        <s v="PROTECT (PR)"/>
        <s v="DETECT (DE)"/>
        <s v="RESPOND (RS)"/>
        <s v="RECOVER (RC)"/>
      </sharedItems>
    </cacheField>
    <cacheField name="Category" numFmtId="0">
      <sharedItems count="22">
        <s v="Organizational Context (GV.OC)"/>
        <s v="Risk Management Strategy (GV.RM)"/>
        <s v="Roles, Responsibilities, and Authorities (GV.RR)"/>
        <s v="Policy (GV.PO)"/>
        <s v="Oversight (GV.OV)"/>
        <s v="Cybersecurity Supply Chain Risk Management (GV.SC)"/>
        <s v="Asset Management (ID.AM)"/>
        <s v="Risk Assessment (ID.RA)"/>
        <s v="Improvement (ID.IM)"/>
        <s v="Identity Management, Authentication, and Access Control (PR.AA)"/>
        <s v="Awareness and Training (PR.AT)"/>
        <s v="Data Security (PR.DS)"/>
        <s v="Platform Security (PR.PS)"/>
        <s v="Technology Infrastructure Resilience (PR.IR)"/>
        <s v="Continuous Monitoring (DE.CM)"/>
        <s v="Adverse Event Analysis (DE.AE)"/>
        <s v="Incident Management (RS.MA)"/>
        <s v="Incident Analysis (RS.AN)"/>
        <s v="Incident Response Reporting and Communication (RS.CO)"/>
        <s v="Incident Mitigation (RS.MI)"/>
        <s v="Incident Recovery Plan Execution (RC.RP)"/>
        <s v="Incident Recovery Communication (RC.CO)"/>
      </sharedItems>
    </cacheField>
    <cacheField name="Subcategory" numFmtId="0">
      <sharedItems/>
    </cacheField>
    <cacheField name="Subcategory description" numFmtId="0">
      <sharedItems/>
    </cacheField>
    <cacheField name="Implementation Examples" numFmtId="0">
      <sharedItems longText="1"/>
    </cacheField>
    <cacheField name="Informative References" numFmtId="0">
      <sharedItems longText="1"/>
    </cacheField>
    <cacheField name="Current Maturity Level" numFmtId="0">
      <sharedItems/>
    </cacheField>
    <cacheField name="Current Maturity Score" numFmtId="0">
      <sharedItems containsSemiMixedTypes="0" containsString="0" containsNumber="1" containsInteger="1" minValue="1" maxValue="3"/>
    </cacheField>
    <cacheField name="Current Maturity Comments" numFmtId="0">
      <sharedItems containsNonDate="0" containsString="0" containsBlank="1"/>
    </cacheField>
    <cacheField name="Target Maturity Level" numFmtId="0">
      <sharedItems/>
    </cacheField>
    <cacheField name="Target Maturity Score" numFmtId="0">
      <sharedItems containsSemiMixedTypes="0" containsString="0" containsNumber="1" containsInteger="1" minValue="3" maxValue="4"/>
    </cacheField>
    <cacheField name="Target Maturity 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
  <r>
    <x v="0"/>
    <x v="0"/>
    <s v="GV.OC-01"/>
    <s v="The organizational mission is understood and informs cybersecurity risk management"/>
    <s v="Ex1: Share the organization's mission (e.g., through vision and mission statements, marketing, and service strategies) to provide a basis for identifying risks that may impede that mission"/>
    <s v="CCMv4.0: BCR-01_x000a_CCMv4.0: BCR-07_x000a_CRI Profile v2.0: GV.OC-01_x000a_CRI Profile v2.0: GV.OC-01.01_x000a_CSF v1.1: ID.BE-2_x000a_CSF v1.1: ID.BE-3_x000a_SP 800-221A: GV.CT-5_x000a_SP 800-221A: GV.CT-3_x000a_SP 800-53 Rev 5.1.1: PM-11"/>
    <s v="Level 3: Managed"/>
    <n v="3"/>
    <m/>
    <s v="Level 4: Quantitatively Managed"/>
    <n v="4"/>
    <m/>
  </r>
  <r>
    <x v="0"/>
    <x v="0"/>
    <s v="GV.OC-02"/>
    <s v="Internal and external stakeholders are understood, and their needs and expectations regarding cybersecurity risk management are understood and considered"/>
    <s v="Ex1: Identify relevant internal stakeholders and their cybersecurity-related expectations (e.g., performance and risk expectations of officers, directors, and advisors; cultural expectations of employees)_x000a_Ex2: Identify relevant external stakeholders and their cybersecurity-related expectations (e.g., privacy expectations of customers, business expectations of partnerships, compliance expectations of regulators, ethics expectations of society)"/>
    <s v="CCMv4.0: STA-08_x000a_CCMv4.0: STA-13_x000a_CRI Profile v2.0: GV.OC-02_x000a_CRI Profile v2.0: GV.OC-02.01_x000a_CRI Profile v2.0: GV.OC-02.02_x000a_CRI Profile v2.0: GV.OC-02.03_x000a_CSF v1.1: ID.SC-2_x000a_CSF v1.1: ID.GV-2_x000a_SP 800-218: PO.2.1_x000a_SP 800-221A: GV.OV-2_x000a_SP 800-221A: GV.CT-2_x000a_SP 800-221A: GV.CT-3_x000a_SP 800-53 Rev 5.1.1: PM-09_x000a_SP 800-53 Rev 5.1.1: PM-18_x000a_SP 800-53 Rev 5.1.1: PM-30_x000a_SP 800-53 Rev 5.1.1: SR-03_x000a_SP 800-53 Rev 5.1.1: SR-05_x000a_SP 800-53 Rev 5.1.1: SR-06_x000a_SP 800-53 Rev 5.1.1: SR-08"/>
    <s v="Level 2: Documented"/>
    <n v="2"/>
    <m/>
    <s v="Level 4: Quantitatively Managed"/>
    <n v="4"/>
    <m/>
  </r>
  <r>
    <x v="0"/>
    <x v="0"/>
    <s v="GV.OC-03"/>
    <s v="Legal, regulatory, and contractual requirements regarding cybersecurity - including privacy and civil liberties obligations - are understood and managed"/>
    <s v="Ex1: Determine a process to track and manage legal and regulatory requirements regarding protection of individuals' information (e.g., Health Insurance Portability and Accountability Act, California Consumer Privacy Act, General Data Protection Regulation)_x000a_Ex2: Determine a process to track and manage contractual requirements for cybersecurity management of supplier, customer, and partner information_x000a_Ex3: Align the organization's cybersecurity strategy with legal, regulatory, and contractual requirements"/>
    <s v="CCMv4.0: CEK-12_x000a_CCMv4.0: CEK-13_x000a_CCMv4.0: CEK-14_x000a_CCMv4.0: CEK-15_x000a_CCMv4.0: CEK-16_x000a_CCMv4.0: CEK-17_x000a_CCMv4.0: CEK-18_x000a_CCMv4.0: CEK-19_x000a_CCMv4.0: CEK-20_x000a_CCMv4.0: CEK-21_x000a_CCMv4.0: DSP-01_x000a_CCMv4.0: DSP-10_x000a_CCMv4.0: DSP-11_x000a_CCMv4.0: DSP-12_x000a_CCMv4.0: DSP-16_x000a_CCMv4.0: DSP-18_x000a_CCMv4.0: GRC-07_x000a_CCMv4.0: HRS-13_x000a_CCMv4.0: STA-05_x000a_CCMv4.0: STA-13_x000a_CRI Profile v2.0: GV.OC-03_x000a_CRI Profile v2.0: GV.OC-03.01_x000a_CRI Profile v2.0: GV.OC-03.02_x000a_CSF v1.1: ID.GV-3_x000a_SP 800-218: PO.1.1_x000a_SP 800-218: PO.1.2_x000a_SP 800-53 Rev 5.1.1: AC-01_x000a_SP 800-53 Rev 5.1.1: AT-01_x000a_SP 800-53 Rev 5.1.1: AU-01_x000a_SP 800-53 Rev 5.1.1: CA-01_x000a_SP 800-53 Rev 5.1.1: CM-01_x000a_SP 800-53 Rev 5.1.1: CP-01_x000a_SP 800-53 Rev 5.1.1: IA-01_x000a_SP 800-53 Rev 5.1.1: IR-01_x000a_SP 800-53 Rev 5.1.1: MA-01_x000a_SP 800-53 Rev 5.1.1: MP-01_x000a_SP 800-53 Rev 5.1.1: PE-01_x000a_SP 800-53 Rev 5.1.1: PL-01_x000a_SP 800-53 Rev 5.1.1: PM-01_x000a_SP 800-53 Rev 5.1.1: PS-01_x000a_SP 800-53 Rev 5.1.1: PT-01_x000a_SP 800-53 Rev 5.1.1: RA-01_x000a_SP 800-53 Rev 5.1.1: SA-01_x000a_SP 800-53 Rev 5.1.1: SC-01_x000a_SP 800-53 Rev 5.1.1: SI-01_x000a_SP 800-53 Rev 5.1.1: SR-01_x000a_SP 800-53 Rev 5.1.1: PM-28_x000a_SP 800-53 Rev 5.1.1: PT"/>
    <s v="Level 3: Managed"/>
    <n v="3"/>
    <m/>
    <s v="Level 4: Quantitatively Managed"/>
    <n v="4"/>
    <m/>
  </r>
  <r>
    <x v="0"/>
    <x v="0"/>
    <s v="GV.OC-04"/>
    <s v="Critical objectives, capabilities, and services that external stakeholders depend on or expect from the organization are understood and communicated"/>
    <s v="Ex1: Establish criteria for determining the criticality of capabilities and services as viewed by internal and external stakeholders_x000a_Ex2: Determine (e.g., from a business impact analysis) assets and business operations that are vital to achieving mission objectives and the potential impact of a loss (or partial loss) of such operations_x000a_Ex3: Establish and communicate resilience objectives (e.g., recovery time objectives) for delivering critical capabilities and services in various operating states (e.g., under attack, during recovery, normal operation)"/>
    <s v="CCMv4.0: BCR-01_x000a_CCMv4.0: BCR-02_x000a_CCMv4.0: BCR-03_x000a_CCMv4.0: BCR-11_x000a_CCMv4.0: IVS-02_x000a_CCMv4.0: STA-05_x000a_CRI Profile v2.0: GV.OC-04_x000a_CRI Profile v2.0: GV.OC-04.01_x000a_CRI Profile v2.0: GV.OC-04.02_x000a_CRI Profile v2.0: GV.OC-04.03_x000a_CRI Profile v2.0: GV.OC-04.04_x000a_CSF v1.1: ID.BE-4_x000a_CSF v1.1: ID.BE-5_x000a_SP 800-221A: MA.RI-1_x000a_SP 800-53 Rev 5.1.1: PM-08_x000a_SP 800-53 Rev 5.1.1: PM-11_x000a_SP 800-53 Rev 5.1.1: CP-02(08)_x000a_SP 800-53 Rev 5.1.1: PM-30(01)_x000a_SP 800-53 Rev 5.1.1: RA-09"/>
    <s v="Level 3: Managed"/>
    <n v="3"/>
    <m/>
    <s v="Level 4: Quantitatively Managed"/>
    <n v="4"/>
    <m/>
  </r>
  <r>
    <x v="0"/>
    <x v="0"/>
    <s v="GV.OC-05"/>
    <s v="Outcomes, capabilities, and services that the organization depends on are understood and communicated"/>
    <s v="Ex1: Create an inventory of the organization's dependencies on external resources (e.g., facilities, cloud-based hosting providers) and their relationships to organizational assets and business functions_x000a_Ex2: Identify and document external dependencies that are potential points of failure for the organization's critical capabilities and services, and share that information with appropriate personnel"/>
    <s v="CCMv4.0: BCR-11_x000a_CCMv4.0: STA-01_x000a_CCMv4.0: STA-04_x000a_CRI Profile v2.0: GV.OC-05_x000a_CRI Profile v2.0: GV.OC-05.01_x000a_CRI Profile v2.0: GV.OC-05.02_x000a_CRI Profile v2.0: GV.OC-05.03_x000a_CRI Profile v2.0: GV.OC-05.04_x000a_CSF v1.1: ID.BE-1_x000a_CSF v1.1: ID.BE-4_x000a_SP 800-221A: GV.CT-5_x000a_SP 800-221A: MA.RI-1_x000a_SP 800-53 Rev 5.1.1: PM-11_x000a_SP 800-53 Rev 5.1.1: PM-30_x000a_SP 800-53 Rev 5.1.1: RA-07_x000a_SP 800-53 Rev 5.1.1: SA-09_x000a_SP 800-53 Rev 5.1.1: SR-05"/>
    <s v="Level 3: Managed"/>
    <n v="3"/>
    <m/>
    <s v="Level 4: Quantitatively Managed"/>
    <n v="4"/>
    <m/>
  </r>
  <r>
    <x v="0"/>
    <x v="1"/>
    <s v="GV.RM-01"/>
    <s v="Risk management objectives are established and agreed to by organizational stakeholders"/>
    <s v="Ex1: Update near-term and long-term cybersecurity risk management objectives as part of annual strategic planning and when major changes occur_x000a_Ex2: Establish measurable objectives for cybersecurity risk management (e.g., manage the quality of user training, ensure adequate risk protection for industrial control systems)_x000a_Ex3: Senior leaders agree about cybersecurity objectives and use them for measuring and managing risk and performance"/>
    <s v="CCMv4.0: GRC-02_x000a_CCMv4.0: CEK-07_x000a_CRI Profile v2.0: GV.RM-01_x000a_CRI Profile v2.0: GV.RM-01.01_x000a_CRI Profile v2.0: GV.RM-01.02_x000a_CRI Profile v2.0: GV.RM-01.03_x000a_CRI Profile v2.0: GV.RM-01.04_x000a_CRI Profile v2.0: GV.RM-01.05_x000a_CSF v1.1: ID.RM-1_x000a_SP 800-221A: GV.RR-2_x000a_SP 800-53 Rev 5.1.1: PM-09_x000a_SP 800-53 Rev 5.1.1: RA-07_x000a_SP 800-53 Rev 5.1.1: SR-02"/>
    <s v="Level 3: Managed"/>
    <n v="3"/>
    <m/>
    <s v="Level 4: Quantitatively Managed"/>
    <n v="4"/>
    <m/>
  </r>
  <r>
    <x v="0"/>
    <x v="1"/>
    <s v="GV.RM-02"/>
    <s v="Risk appetite and risk tolerance statements are established, communicated, and maintained"/>
    <s v="Ex1: Determine and communicate risk appetite statements that convey expectations about the appropriate level of risk for the organization_x000a_Ex2: Translate risk appetite statements into specific, measurable, and broadly understandable risk tolerance statements_x000a_Ex3: Refine organizational objectives and risk appetite periodically based on known risk exposure and residual risk"/>
    <s v="CCMv4.0: GRC-02_x000a_CCMv4.0: BCR-03_x000a_CCMv4.0: IVS-08_x000a_CRI Profile v2.0: GV.RM-02_x000a_CRI Profile v2.0: GV.RM-02.01_x000a_CRI Profile v2.0: GV.RM-02.02_x000a_CRI Profile v2.0: GV.RM-02.03_x000a_CSF v1.1: ID.RM-2_x000a_CSF v1.1: ID.RM-3_x000a_SP 800-221A: GV.BE-1_x000a_SP 800-221A: GV.BE-3_x000a_SP 800-53 Rev 5.1.1: PM-09"/>
    <s v="Level 3: Managed"/>
    <n v="3"/>
    <m/>
    <s v="Level 4: Quantitatively Managed"/>
    <n v="4"/>
    <m/>
  </r>
  <r>
    <x v="0"/>
    <x v="1"/>
    <s v="GV.RM-03"/>
    <s v="Cybersecurity risk management activities and outcomes are included in enterprise risk management processes"/>
    <s v="Ex1: Aggregate and manage cybersecurity risks alongside other enterprise risks (e.g., compliance, financial, operational, regulatory, reputational, safety)_x000a_Ex2: Include cybersecurity risk managers in enterprise risk management planning_x000a_Ex3: Establish criteria for escalating cybersecurity risks within enterprise risk management"/>
    <s v="CCMv4.0: GRC-02_x000a_CCMv4.0: A&amp;A-03_x000a_CRI Profile v2.0: GV.RM-03_x000a_CRI Profile v2.0: GV.RM-03.01_x000a_CRI Profile v2.0: GV.RM-03.02_x000a_CRI Profile v2.0: GV.RM-03.03_x000a_CRI Profile v2.0: GV.RM-03.04_x000a_CSF v1.1: ID.GV-4_x000a_SP 800-221A: GV.PO-2_x000a_SP 800-221A: GV.PO-3_x000a_SP 800-53 Rev 5.1.1: PM-03_x000a_SP 800-53 Rev 5.1.1: PM-09_x000a_SP 800-53 Rev 5.1.1: PM-30_x000a_SP 800-53 Rev 5.1.1: RA-07_x000a_SP 800-53 Rev 5.1.1: SR-02"/>
    <s v="Level 3: Managed"/>
    <n v="3"/>
    <m/>
    <s v="Level 4: Quantitatively Managed"/>
    <n v="4"/>
    <m/>
  </r>
  <r>
    <x v="0"/>
    <x v="1"/>
    <s v="GV.RM-04"/>
    <s v="Strategic direction that describes appropriate risk response options is established and communicated"/>
    <s v="Ex1: Specify criteria for accepting and avoiding cybersecurity risk for various classifications of data_x000a_Ex2: Determine whether to purchase cybersecurity insurance_x000a_Ex3: Document conditions under which shared responsibility models are acceptable (e.g., outsourcing certain cybersecurity functions, having a third party perform financial transactions on behalf of the organization, using public cloud-based services)"/>
    <s v="CCMv4.0: GRC-02_x000a_CCMv4.0: BCR-03_x000a_CCMv4.0: STA-01_x000a_CRI Profile v2.0: GV.RM-04_x000a_CRI Profile v2.0: GV.RM-04.01_x000a_CSF v1.1: ID.RM-2_x000a_SP 800-221A: GV.BE-1_x000a_SP 800-53 Rev 5.1.1: PM-09_x000a_SP 800-53 Rev 5.1.1: PM-28_x000a_SP 800-53 Rev 5.1.1: PM-30_x000a_SP 800-53 Rev 5.1.1: SR-02"/>
    <s v="Level 3: Managed"/>
    <n v="3"/>
    <m/>
    <s v="Level 4: Quantitatively Managed"/>
    <n v="4"/>
    <m/>
  </r>
  <r>
    <x v="0"/>
    <x v="1"/>
    <s v="GV.RM-05"/>
    <s v="Lines of communication across the organization are established for cybersecurity risks, including risks from suppliers and other third parties"/>
    <s v="Ex1: Determine how to update senior executives, directors, and management on the organization's cybersecurity posture at agreed-upon intervals_x000a_Ex2: Identify how all departments across the organization - such as management, operations, internal auditors, legal, acquisition, physical security, and HR - will communicate with each other about cybersecurity risks"/>
    <s v="CCMv4.0: GRC-02_x000a_CCMv4.0: STA-01_x000a_CCMv4.0: STA-08_x000a_CRI Profile v2.0: GV.RM-05_x000a_CRI Profile v2.0: GV.RM-05.01_x000a_CRI Profile v2.0: GV.RM-05.02_x000a_CSF v1.1: ID.SC-1_x000a_SP 800-221A: GV.PO-1_x000a_SP 800-53 Rev 5.1.1: PM-09_x000a_SP 800-53 Rev 5.1.1: PM-30"/>
    <s v="Level 3: Managed"/>
    <n v="3"/>
    <m/>
    <s v="Level 4: Quantitatively Managed"/>
    <n v="4"/>
    <m/>
  </r>
  <r>
    <x v="0"/>
    <x v="1"/>
    <s v="GV.RM-06"/>
    <s v="A standardized method for calculating, documenting, categorizing, and prioritizing cybersecurity risks is established and communicated"/>
    <s v="Ex1: Establish criteria for using a quantitative approach to cybersecurity risk analysis, and specify probability and exposure formulas_x000a_Ex2: Create and use templates (e.g., a risk register) to document cybersecurity risk information (e.g., risk description, exposure, treatment, and ownership)_x000a_Ex3: Establish criteria for risk prioritization at the appropriate levels within the enterprise_x000a_Ex4: Use a consistent list of risk categories to support integrating, aggregating, and comparing cybersecurity risks"/>
    <s v="CCMv4.0: GRC-02_x000a_CCMv4.0: TVM-08_x000a_CCMv4.0: IVS-08_x000a_CRI Profile v2.0: GV.RM-06_x000a_CRI Profile v2.0: GV.RM-06.01_x000a_CSF v1.1: ID.RM-1_x000a_SP 800-221A: GV.RR-2_x000a_SP 800-53 Rev 5.1.1: PM-09_x000a_SP 800-53 Rev 5.1.1: PM-18_x000a_SP 800-53 Rev 5.1.1: PM-28_x000a_SP 800-53 Rev 5.1.1: PM-30_x000a_SP 800-53 Rev 5.1.1: RA-03"/>
    <s v="Level 3: Managed"/>
    <n v="3"/>
    <m/>
    <s v="Level 4: Quantitatively Managed"/>
    <n v="4"/>
    <m/>
  </r>
  <r>
    <x v="0"/>
    <x v="1"/>
    <s v="GV.RM-07"/>
    <s v="Strategic opportunities (i.e., positive risks) are characterized and are included in organizational cybersecurity risk discussions"/>
    <s v="Ex1: Define and communicate guidance and methods for identifying opportunities and including them in risk discussions (e.g., strengths, weaknesses, opportunities, and threats [SWOT] analysis)_x000a_Ex2: Identify stretch goals and document them_x000a_Ex3: Calculate, document, and prioritize positive risks alongside negative risks"/>
    <s v="CCMv4.0: GRC-02_x000a_CRI Profile v2.0: GV.RM-07_x000a_CRI Profile v2.0: GV.RM-07.01_x000a_SP 800-53 Rev 5.1.1: PM-09_x000a_SP 800-53 Rev 5.1.1: PM-18_x000a_SP 800-53 Rev 5.1.1: PM-28_x000a_SP 800-53 Rev 5.1.1: PM-30_x000a_SP 800-53 Rev 5.1.1: RA-03"/>
    <s v="Level 3: Managed"/>
    <n v="3"/>
    <m/>
    <s v="Level 4: Quantitatively Managed"/>
    <n v="4"/>
    <m/>
  </r>
  <r>
    <x v="0"/>
    <x v="2"/>
    <s v="GV.RR-01"/>
    <s v="Organizational leadership is responsible and accountable for cybersecurity risk and fosters a culture that is risk-aware, ethical, and continually improving"/>
    <s v="Ex1: Leaders (e.g., directors) agree on their roles and responsibilities in developing, implementing, and assessing the organization's cybersecurity strategy_x000a_Ex2: Share leaders' expectations regarding a secure and ethical culture, especially when current events present the opportunity to highlight positive or negative examples of cybersecurity risk management_x000a_Ex3: Leaders direct the CISO to maintain a comprehensive cybersecurity risk strategy and review and update it at least annually and after major events_x000a_Ex4: Conduct reviews to ensure adequate authority and coordination among those responsible for managing cybersecurity risk"/>
    <s v="CCMv4.0: HRS-09_x000a_CCMv4.0: HRS-13_x000a_CIS Controls v8.0: 14.1_x000a_CRI Profile v2.0: GV.RR-01_x000a_CRI Profile v2.0: GV.RR-01.01_x000a_CRI Profile v2.0: GV.RR-01.02_x000a_CRI Profile v2.0: GV.RR-01.03_x000a_CRI Profile v2.0: GV.RR-01.04_x000a_CRI Profile v2.0: GV.RR-01.05_x000a_SP 800-218: PO.2.3_x000a_SP 800-53 Rev 5.1.1: PM-02_x000a_SP 800-53 Rev 5.1.1: PM-19_x000a_SP 800-53 Rev 5.1.1: PM-23_x000a_SP 800-53 Rev 5.1.1: PM-24_x000a_SP 800-53 Rev 5.1.1: PM-29"/>
    <s v="Level 3: Managed"/>
    <n v="3"/>
    <m/>
    <s v="Level 4: Quantitatively Managed"/>
    <n v="4"/>
    <m/>
  </r>
  <r>
    <x v="0"/>
    <x v="2"/>
    <s v="GV.RR-02"/>
    <s v="Roles, responsibilities, and authorities related to cybersecurity risk management are established, communicated, understood, and enforced"/>
    <s v="Ex1: Document risk management roles and responsibilities in policy_x000a_Ex2: Document who is responsible and accountable for cybersecurity risk management activities and how those teams and individuals are to be consulted and informed_x000a_Ex3: Include cybersecurity responsibilities and performance requirements in personnel descriptions_x000a_Ex4: Document performance goals for personnel with cybersecurity risk management responsibilities, and periodically measure performance to identify areas for improvement_x000a_Ex5: Clearly articulate cybersecurity responsibilities within operations, risk functions, and internal audit functions"/>
    <s v="CCMv4.0: CEK-02_x000a_CCMv4.0: GRC-06_x000a_CCMv4.0: HRS-02_x000a_CCMv4.0: HRS-03_x000a_CCMv4.0: HRS-06_x000a_CCMv4.0: HRS-08_x000a_CCMv4.0: HRS-09_x000a_CCMv4.0: HRS-13_x000a_CCMv4.0: SEF-08_x000a_CCMv4.0: STA-02_x000a_CCMv4.0: STA-04_x000a_CCMv4.0: UEM-14_x000a_CIS Controls v8.0: 14.9_x000a_CRI Profile v2.0: GV.RR-02_x000a_CRI Profile v2.0: GV.RR-02.01_x000a_CRI Profile v2.0: GV.RR-02.02_x000a_CRI Profile v2.0: GV.RR-02.03_x000a_CRI Profile v2.0: GV.RR-02.04_x000a_CRI Profile v2.0: GV.RR-02.05_x000a_CRI Profile v2.0: GV.RR-02.06_x000a_CRI Profile v2.0: GV.RR-02.07_x000a_CSF v1.1: ID.AM-6_x000a_CSF v1.1: ID.GV-2_x000a_CSF v1.1: DE.DP-1_x000a_SP 800-218: PO.2.1_x000a_SP 800-221A: GV.RR-1_x000a_SP 800-221A: GV.RR-2_x000a_SP 800-221A: GV.OV-2_x000a_SP 800-53 Rev 5.1.1: PM-02_x000a_SP 800-53 Rev 5.1.1: PM-13_x000a_SP 800-53 Rev 5.1.1: PM-19_x000a_SP 800-53 Rev 5.1.1: PM-23_x000a_SP 800-53 Rev 5.1.1: PM-24_x000a_SP 800-53 Rev 5.1.1: PM-29"/>
    <s v="Level 3: Managed"/>
    <n v="3"/>
    <m/>
    <s v="Level 4: Quantitatively Managed"/>
    <n v="4"/>
    <m/>
  </r>
  <r>
    <x v="0"/>
    <x v="2"/>
    <s v="GV.RR-03"/>
    <s v="Adequate resources are allocated commensurate with the cybersecurity risk strategy, roles, responsibilities, and policies"/>
    <s v="Ex1: Conduct periodic management reviews to ensure that those given cybersecurity risk management responsibilities have the necessary authority_x000a_Ex2: Identify resource allocation and investment in line with risk tolerance and response_x000a_Ex3: Provide adequate and sufficient people, process, and technical resources to support the cybersecurity strategy"/>
    <s v="CRI Profile v2.0: GV.RR-03_x000a_CRI Profile v2.0: GV.RR-03.01_x000a_CRI Profile v2.0: GV.RR-03.02_x000a_CRI Profile v2.0: GV.RR-03.03_x000a_CSF v1.1: ID.RM-1_x000a_SP 800-221A: GV.RR-2_x000a_SP 800-53 Rev 5.1.1: PM-03"/>
    <s v="Level 3: Managed"/>
    <n v="3"/>
    <m/>
    <s v="Level 4: Quantitatively Managed"/>
    <n v="4"/>
    <m/>
  </r>
  <r>
    <x v="0"/>
    <x v="2"/>
    <s v="GV.RR-04"/>
    <s v="Cybersecurity is included in human resources practices"/>
    <s v="Ex1: Integrate cybersecurity risk management considerations into human resources processes (e.g., personnel screening, onboarding, change notification, offboarding)_x000a_Ex2: Consider cybersecurity knowledge to be a positive factor in hiring, training, and retention decisions_x000a_Ex3: Conduct background checks prior to onboarding new personnel for sensitive roles, and periodically repeat background checks for personnel with such roles_x000a_Ex4: Define and enforce obligations for personnel to be aware of, adhere to, and uphold security policies as they relate to their roles"/>
    <s v="CCMv4.0: HRS-01_x000a_CCMv4.0: HRS-05_x000a_CCMv4.0: HRS-06_x000a_CCMv4.0: HRS-07_x000a_CCMv4.0: HRS-08_x000a_CCMv4.0: HRS-10_x000a_CCMv4.0: IAM-07_x000a_CIS Controls v8.0: 6.1_x000a_CIS Controls v8.0: 6.2_x000a_CRI Profile v2.0: GV.RR-04_x000a_CRI Profile v2.0: GV.RR-04.01_x000a_CRI Profile v2.0: GV.RR-04.02_x000a_CRI Profile v2.0: GV.RR-04.03_x000a_CSF v1.1: PR.IP-11_x000a_SP 800-53 Rev 5.1.1: PM-13_x000a_SP 800-53 Rev 5.1.1: PS-01_x000a_SP 800-53 Rev 5.1.1: PS-07_x000a_SP 800-53 Rev 5.1.1: PS-09"/>
    <s v="Level 3: Managed"/>
    <n v="3"/>
    <m/>
    <s v="Level 4: Quantitatively Managed"/>
    <n v="4"/>
    <m/>
  </r>
  <r>
    <x v="0"/>
    <x v="3"/>
    <s v="GV.PO-01"/>
    <s v="Policy for managing cybersecurity risks is established based on organizational context, cybersecurity strategy, and priorities and is communicated and enforced"/>
    <s v="Ex1: Create, disseminate, and maintain an understandable, usable risk management policy with statements of management intent, expectations, and direction_x000a_Ex2: Periodically review policy and supporting processes and procedures to ensure that they align with risk management strategy objectives and priorities, as well as the high-level direction of the cybersecurity policy_x000a_Ex3: Require approval from senior management on policy_x000a_Ex4: Communicate cybersecurity risk management policy and supporting processes and procedures across the organization_x000a_Ex5: Require personnel to acknowledge receipt of policy when first hired, annually, and whenever policy is updated"/>
    <s v="CCMv4.0: A&amp;A-01_x000a_CCMv4.0: AIS-01_x000a_CCMv4.0: BCR-01_x000a_CCMv4.0: CCC-01_x000a_CCMv4.0: CEK-01_x000a_CCMv4.0: DCS-01_x000a_CCMv4.0: DCS-02_x000a_CCMv4.0: DCS-03_x000a_CCMv4.0: DCS-04_x000a_CCMv4.0: DSP-01_x000a_CCMv4.0: GRC-01_x000a_CCMv4.0: HRS-01_x000a_CCMv4.0: HRS-02_x000a_CCMv4.0: HRS-03_x000a_CCMv4.0: HRS-04_x000a_CCMv4.0: HRS-09_x000a_CCMv4.0: IAM-01_x000a_CCMv4.0: IAM-02_x000a_CCMv4.0: IPY-01_x000a_CCMv4.0: IVS-01_x000a_CCMv4.0: LOG-01_x000a_CCMv4.0: SEF-01_x000a_CCMv4.0: SEF-02_x000a_CCMv4.0: STA-01_x000a_CCMv4.0: TVM-01_x000a_CCMv4.0: TVM-02_x000a_CCMv4.0: UEM-01_x000a_CCMv4.0: UEM-05_x000a_CRI Profile v2.0: GV.PO-01_x000a_CRI Profile v2.0: GV.PO-01.01_x000a_CRI Profile v2.0: GV.PO-01.02_x000a_CRI Profile v2.0: GV.PO-01.03_x000a_CRI Profile v2.0: GV.PO-01.04_x000a_CRI Profile v2.0: GV.PO-01.05_x000a_CRI Profile v2.0: GV.PO-01.06_x000a_CRI Profile v2.0: GV.PO-01.07_x000a_CRI Profile v2.0: GV.PO-01.08_x000a_CSF v1.1: ID.GV-1_x000a_SP 800-221A: GV.PO-1_x000a_SP 800-53 Rev 5.1.1: AC-01_x000a_SP 800-53 Rev 5.1.1: AT-01_x000a_SP 800-53 Rev 5.1.1: AU-01_x000a_SP 800-53 Rev 5.1.1: CA-01_x000a_SP 800-53 Rev 5.1.1: CM-01_x000a_SP 800-53 Rev 5.1.1: CP-01_x000a_SP 800-53 Rev 5.1.1: IA-01_x000a_SP 800-53 Rev 5.1.1: IR-01_x000a_SP 800-53 Rev 5.1.1: MA-01_x000a_SP 800-53 Rev 5.1.1: MP-01_x000a_SP 800-53 Rev 5.1.1: PE-01_x000a_SP 800-53 Rev 5.1.1: PL-01_x000a_SP 800-53 Rev 5.1.1: PM-01_x000a_SP 800-53 Rev 5.1.1: PS-01_x000a_SP 800-53 Rev 5.1.1: PT-01_x000a_SP 800-53 Rev 5.1.1: RA-01_x000a_SP 800-53 Rev 5.1.1: SA-01_x000a_SP 800-53 Rev 5.1.1: SC-01_x000a_SP 800-53 Rev 5.1.1: SI-01_x000a_SP 800-53 Rev 5.1.1: SR-01"/>
    <s v="Level 3: Managed"/>
    <n v="3"/>
    <m/>
    <s v="Level 4: Quantitatively Managed"/>
    <n v="4"/>
    <m/>
  </r>
  <r>
    <x v="0"/>
    <x v="3"/>
    <s v="GV.PO-02"/>
    <s v="Policy for managing cybersecurity risks is reviewed, updated, communicated, and enforced to reflect changes in requirements, threats, technology, and organizational mission"/>
    <s v="Ex1: Update policy based on periodic reviews of cybersecurity risk management results to ensure that policy and supporting processes and procedures adequately maintain risk at an acceptable level_x000a_Ex2: Provide a timeline for reviewing changes to the organization's risk environment (e.g., changes in risk or in the organization's mission objectives), and communicate recommended policy updates_x000a_Ex3: Update policy to reflect changes in legal and regulatory requirements_x000a_Ex4: Update policy to reflect changes in technology (e.g., adoption of artificial intelligence) and changes to the business (e.g., acquisition of a new business, new contract requirements)"/>
    <s v="CCMv4.0: A&amp;A-01_x000a_CCMv4.0: AIS-01_x000a_CCMv4.0: BCR-01_x000a_CCMv4.0: CCC-01_x000a_CCMv4.0: CEK-01_x000a_CCMv4.0: DCS-01_x000a_CCMv4.0: DCS-02_x000a_CCMv4.0: DCS-03_x000a_CCMv4.0: DCS-04_x000a_CCMv4.0: DSP-01_x000a_CCMv4.0: GRC-01_x000a_CCMv4.0: GRC-03_x000a_CCMv4.0: HRS-01_x000a_CCMv4.0: HRS-02_x000a_CCMv4.0: HRS-03_x000a_CCMv4.0: HRS-04_x000a_CCMv4.0: IAM-01_x000a_CCMv4.0: IAM-02_x000a_CCMv4.0: IPY-01_x000a_CCMv4.0: IVS-01_x000a_CCMv4.0: LOG-01_x000a_CCMv4.0: SEF-01_x000a_CCMv4.0: SEF-02_x000a_CCMv4.0: STA-01_x000a_CCMv4.0: TVM-01_x000a_CCMv4.0: TVM-02_x000a_CCMv4.0: UEM-01_x000a_CCMv4.0: UEM-05_x000a_CRI Profile v2.0: GV.PO-02_x000a_CRI Profile v2.0: GV.PO-02.01_x000a_CSF v1.1: ID.GV-1_x000a_SP 800-221A: GV.PO-1_x000a_SP 800-53 Rev 5.1.1: AC-01_x000a_SP 800-53 Rev 5.1.1: AT-01_x000a_SP 800-53 Rev 5.1.1: AU-01_x000a_SP 800-53 Rev 5.1.1: CA-01_x000a_SP 800-53 Rev 5.1.1: CM-01_x000a_SP 800-53 Rev 5.1.1: CP-01_x000a_SP 800-53 Rev 5.1.1: IA-01_x000a_SP 800-53 Rev 5.1.1: IR-01_x000a_SP 800-53 Rev 5.1.1: MA-01_x000a_SP 800-53 Rev 5.1.1: MP-01_x000a_SP 800-53 Rev 5.1.1: PE-01_x000a_SP 800-53 Rev 5.1.1: PL-01_x000a_SP 800-53 Rev 5.1.1: PM-01_x000a_SP 800-53 Rev 5.1.1: PS-01_x000a_SP 800-53 Rev 5.1.1: PT-01_x000a_SP 800-53 Rev 5.1.1: RA-01_x000a_SP 800-53 Rev 5.1.1: SA-01_x000a_SP 800-53 Rev 5.1.1: SC-01_x000a_SP 800-53 Rev 5.1.1: SI-01_x000a_SP 800-53 Rev 5.1.1: SR-01"/>
    <s v="Level 3: Managed"/>
    <n v="3"/>
    <m/>
    <s v="Level 4: Quantitatively Managed"/>
    <n v="4"/>
    <m/>
  </r>
  <r>
    <x v="0"/>
    <x v="4"/>
    <s v="GV.OV-01"/>
    <s v="Cybersecurity risk management strategy outcomes are reviewed to inform and adjust strategy and direction"/>
    <s v="Ex1: Measure how well the risk management strategy and risk results have helped leaders make decisions and achieve organizational objectives_x000a_Ex2: Examine whether cybersecurity risk strategies that impede operations or innovation should be adjusted"/>
    <s v="CRI Profile v2.0: GV.OV-01_x000a_CRI Profile v2.0: GV.OV-01.01_x000a_CRI Profile v2.0: GV.OV-01.02_x000a_CRI Profile v2.0: GV.OV-01.03_x000a_SP 800-221A: GV.AD-3_x000a_SP 800-53 Rev 5.1.1: AC-01_x000a_SP 800-53 Rev 5.1.1: AT-01_x000a_SP 800-53 Rev 5.1.1: AU-01_x000a_SP 800-53 Rev 5.1.1: CA-01_x000a_SP 800-53 Rev 5.1.1: CM-01_x000a_SP 800-53 Rev 5.1.1: CP-01_x000a_SP 800-53 Rev 5.1.1: IA-01_x000a_SP 800-53 Rev 5.1.1: IR-01_x000a_SP 800-53 Rev 5.1.1: MA-01_x000a_SP 800-53 Rev 5.1.1: MP-01_x000a_SP 800-53 Rev 5.1.1: PE-01_x000a_SP 800-53 Rev 5.1.1: PL-01_x000a_SP 800-53 Rev 5.1.1: PM-01_x000a_SP 800-53 Rev 5.1.1: PS-01_x000a_SP 800-53 Rev 5.1.1: PT-01_x000a_SP 800-53 Rev 5.1.1: RA-01_x000a_SP 800-53 Rev 5.1.1: SA-01_x000a_SP 800-53 Rev 5.1.1: SC-01_x000a_SP 800-53 Rev 5.1.1: SI-01_x000a_SP 800-53 Rev 5.1.1: SR-01_x000a_SP 800-53 Rev 5.1.1: PM-09_x000a_SP 800-53 Rev 5.1.1: PM-18_x000a_SP 800-53 Rev 5.1.1: PM-30_x000a_SP 800-53 Rev 5.1.1: PM-31_x000a_SP 800-53 Rev 5.1.1: RA-07_x000a_SP 800-53 Rev 5.1.1: SR-06"/>
    <s v="Level 3: Managed"/>
    <n v="3"/>
    <m/>
    <s v="Level 4: Quantitatively Managed"/>
    <n v="4"/>
    <m/>
  </r>
  <r>
    <x v="0"/>
    <x v="4"/>
    <s v="GV.OV-02"/>
    <s v="The cybersecurity risk management strategy is reviewed and adjusted to ensure coverage of organizational requirements and risks"/>
    <s v="Ex1: Review audit findings to confirm whether the existing cybersecurity strategy has ensured compliance with internal and external requirements_x000a_Ex2: Review the performance oversight of those in cybersecurity-related roles to determine whether policy changes are necessary_x000a_Ex3: Review strategy in light of cybersecurity incidents"/>
    <s v="CRI Profile v2.0: GV.OV-02_x000a_CRI Profile v2.0: GV.OV-02.01_x000a_CRI Profile v2.0: GV.OV-02.02_x000a_SP 800-221A: GV.AD-2_x000a_SP 800-221A: GV.AD-3_x000a_SP 800-221A: MA.RM-8_x000a_SP 800-53 Rev 5.1.1: PM-09_x000a_SP 800-53 Rev 5.1.1: PM-19_x000a_SP 800-53 Rev 5.1.1: PM-30_x000a_SP 800-53 Rev 5.1.1: PM-31_x000a_SP 800-53 Rev 5.1.1: RA-07_x000a_SP 800-53 Rev 5.1.1: SR-06"/>
    <s v="Level 3: Managed"/>
    <n v="3"/>
    <m/>
    <s v="Level 4: Quantitatively Managed"/>
    <n v="4"/>
    <m/>
  </r>
  <r>
    <x v="0"/>
    <x v="4"/>
    <s v="GV.OV-03"/>
    <s v="Organizational cybersecurity risk management performance is evaluated and reviewed for adjustments needed"/>
    <s v="Ex1: Review key performance indicators (KPIs) to ensure that organization-wide policies and procedures achieve objectives_x000a_Ex2: Review key risk indicators (KRIs) to identify risks the organization faces, including likelihood and potential impact_x000a_Ex3: Collect and communicate metrics on cybersecurity risk management with senior leadership"/>
    <s v="CCMv4.0: AIS-03_x000a_CRI Profile v2.0: GV.OV-03_x000a_CRI Profile v2.0: GV.OV-03.01_x000a_CRI Profile v2.0: GV.OV-03.02_x000a_SP 800-221A: GV.OV-2_x000a_SP 800-221A: MA.RM-2_x000a_SP 800-53 Rev 5.1.1: PM-04_x000a_SP 800-53 Rev 5.1.1: PM-06_x000a_SP 800-53 Rev 5.1.1: RA-07_x000a_SP 800-53 Rev 5.1.1: SR-06"/>
    <s v="Level 3: Managed"/>
    <n v="3"/>
    <m/>
    <s v="Level 4: Quantitatively Managed"/>
    <n v="4"/>
    <m/>
  </r>
  <r>
    <x v="0"/>
    <x v="5"/>
    <s v="GV.SC-01"/>
    <s v="A cybersecurity supply chain risk management program, strategy, objectives, policies, and processes are established and agreed to by organizational stakeholders"/>
    <s v="Ex1: Establish a strategy that expresses the objectives of the cybersecurity supply chain risk management program_x000a_Ex2: Develop the cybersecurity supply chain risk management program, including a plan (with milestones), policies, and procedures that guide implementation and improvement of the program, and share the policies and procedures with the organizational stakeholders_x000a_Ex3: Develop and implement program processes based on the strategy, objectives, policies, and procedures that are agreed upon and performed by the organizational stakeholders_x000a_Ex4: Establish a cross-organizational mechanism that ensures alignment between functions that contribute to cybersecurity supply chain risk management, such as cybersecurity, IT, operations, legal, human resources, and engineering"/>
    <s v="CCMv4.0: STA-01_x000a_CCMv4.0: STA-06_x000a_CCMv4.0: STA-08_x000a_CIS Controls v8.0: 15.2_x000a_CRI Profile v2.0: GV.SC-01_x000a_CRI Profile v2.0: GV.SC-01.01_x000a_CRI Profile v2.0: GV.SC-01.02_x000a_CSF v1.1: ID.SC-1_x000a_SP 800-221A: GV.PO-1_x000a_SP 800-53 Rev 5.1.1: PM-30_x000a_SP 800-53 Rev 5.1.1: SR-02_x000a_SP 800-53 Rev 5.1.1: SR-03"/>
    <s v="Level 3: Managed"/>
    <n v="3"/>
    <m/>
    <s v="Level 4: Quantitatively Managed"/>
    <n v="4"/>
    <m/>
  </r>
  <r>
    <x v="0"/>
    <x v="5"/>
    <s v="GV.SC-02"/>
    <s v="Cybersecurity roles and responsibilities for suppliers, customers, and partners are established, communicated, and coordinated internally and externally"/>
    <s v="Ex1: Identify one or more specific roles or positions that will be responsible and accountable for planning, resourcing, and executing cybersecurity supply chain risk management activities_x000a_Ex2: Document cybersecurity supply chain risk management roles and responsibilities in policy_x000a_Ex3: Create responsibility matrixes to document who will be responsible and accountable for cybersecurity supply chain risk management activities and how those teams and individuals will be consulted and informed_x000a_Ex4: Include cybersecurity supply chain risk management responsibilities and performance requirements in personnel descriptions to ensure clarity and improve accountability_x000a_Ex5: Document performance goals for personnel with cybersecurity risk management-specific responsibilities, and periodically measure them to demonstrate and improve performance_x000a_Ex6: Develop roles and responsibilities for suppliers, customers, and business partners to address shared responsibilities for applicable cybersecurity risks, and integrate them into organizational policies and applicable third-party agreements_x000a_Ex7: Internally communicate cybersecurity supply chain risk management roles and responsibilities for third parties_x000a_Ex8: Establish rules and protocols for information sharing and reporting processes between the organization and its suppliers"/>
    <s v="CCMv4.0: HRS-09_x000a_CCMv4.0: HRS-10_x000a_CCMv4.0: HRS-13_x000a_CCMv4.0: IAM-11_x000a_CCMv4.0: STA-01_x000a_CCMv4.0: STA-02_x000a_CCMv4.0: STA-03_x000a_CCMv4.0: STA-04_x000a_CCMv4.0: STA-05_x000a_CCMv4.0: STA-06_x000a_CCMv4.0: STA-12_x000a_CCMv4.0: UEM-14_x000a_CIS Controls v8.0: 15.4_x000a_CRI Profile v2.0: GV.SC-02_x000a_CRI Profile v2.0: GV.SC-02.01_x000a_CSF v1.1: ID.AM-6_x000a_SP 800-218: PO.2.1_x000a_SP 800-221A: GV.RR-1_x000a_SP 800-221A: GV.RR-2_x000a_SP 800-53 Rev 5.1.1: SR-02_x000a_SP 800-53 Rev 5.1.1: SR-03_x000a_SP 800-53 Rev 5.1.1: SR-05"/>
    <s v="Level 3: Managed"/>
    <n v="3"/>
    <m/>
    <s v="Level 4: Quantitatively Managed"/>
    <n v="4"/>
    <m/>
  </r>
  <r>
    <x v="0"/>
    <x v="5"/>
    <s v="GV.SC-03"/>
    <s v="Cybersecurity supply chain risk management is integrated into cybersecurity and enterprise risk management, risk assessment, and improvement processes"/>
    <s v="Ex1: Identify areas of alignment and overlap with cybersecurity and enterprise risk management_x000a_Ex2: Establish integrated control sets for cybersecurity risk management and cybersecurity supply chain risk management_x000a_Ex3: Integrate cybersecurity supply chain risk management into improvement processes_x000a_Ex4: Escalate material cybersecurity risks in supply chains to senior management, and address them at the enterprise risk management level"/>
    <s v="CCMv4.0: STA-01_x000a_CCMv4.0: STA-06_x000a_CCMv4.0: STA-08_x000a_CCMv4.0: STA-11_x000a_CCMv4.0: STA-12_x000a_CCMv4.0: UEM-14_x000a_CRI Profile v2.0: GV.SC-03_x000a_CRI Profile v2.0: GV.SC-03.01_x000a_CSF v1.1: ID.SC-2_x000a_SP 800-218: PW.4.1_x000a_SP 800-221A: GV.CT-2_x000a_SP 800-221A: GV.CT-3_x000a_SP 800-53 Rev 5.1.1: AC-01_x000a_SP 800-53 Rev 5.1.1: AT-01_x000a_SP 800-53 Rev 5.1.1: AU-01_x000a_SP 800-53 Rev 5.1.1: CA-01_x000a_SP 800-53 Rev 5.1.1: CM-01_x000a_SP 800-53 Rev 5.1.1: CP-01_x000a_SP 800-53 Rev 5.1.1: IA-01_x000a_SP 800-53 Rev 5.1.1: IR-01_x000a_SP 800-53 Rev 5.1.1: MA-01_x000a_SP 800-53 Rev 5.1.1: MP-01_x000a_SP 800-53 Rev 5.1.1: PE-01_x000a_SP 800-53 Rev 5.1.1: PL-01_x000a_SP 800-53 Rev 5.1.1: PM-01_x000a_SP 800-53 Rev 5.1.1: PS-01_x000a_SP 800-53 Rev 5.1.1: PT-01_x000a_SP 800-53 Rev 5.1.1: RA-01_x000a_SP 800-53 Rev 5.1.1: SA-01_x000a_SP 800-53 Rev 5.1.1: SC-01_x000a_SP 800-53 Rev 5.1.1: SI-01_x000a_SP 800-53 Rev 5.1.1: SR-01_x000a_SP 800-53 Rev 5.1.1: PM-09_x000a_SP 800-53 Rev 5.1.1: PM-18_x000a_SP 800-53 Rev 5.1.1: PM-30_x000a_SP 800-53 Rev 5.1.1: PM-31_x000a_SP 800-53 Rev 5.1.1: SR-02_x000a_SP 800-53 Rev 5.1.1: SR-03_x000a_SP 800-53 Rev 5.1.1: RA-03_x000a_SP 800-53 Rev 5.1.1: RA-07"/>
    <s v="Level 3: Managed"/>
    <n v="3"/>
    <m/>
    <s v="Level 4: Quantitatively Managed"/>
    <n v="4"/>
    <m/>
  </r>
  <r>
    <x v="0"/>
    <x v="5"/>
    <s v="GV.SC-04"/>
    <s v="Suppliers are known and prioritized by criticality"/>
    <s v="Ex1: Develop criteria for supplier criticality based on, for example, the sensitivity of data processed or possessed by suppliers, the degree of access to the organization's systems, and the importance of the products or services to the organization's mission_x000a_Ex2: Keep a record of all suppliers, and prioritize suppliers based on the criticality criteria"/>
    <s v="CCMv4.0: STA-07_x000a_CIS Controls v8.0: 15.1_x000a_CIS Controls v8.0: 15.3_x000a_CRI Profile v2.0: GV.SC-04_x000a_CRI Profile v2.0: GV.SC-04.01_x000a_CSF v1.1: ID.SC-2_x000a_SP 800-221A: GV.CT-2_x000a_SP 800-221A: GV.CT-3_x000a_SP 800-53 Rev 5.1.1: RA-09_x000a_SP 800-53 Rev 5.1.1: SA-09_x000a_SP 800-53 Rev 5.1.1: SR-06"/>
    <s v="Level 3: Managed"/>
    <n v="3"/>
    <m/>
    <s v="Level 4: Quantitatively Managed"/>
    <n v="4"/>
    <m/>
  </r>
  <r>
    <x v="0"/>
    <x v="5"/>
    <s v="GV.SC-05"/>
    <s v="Requirements to address cybersecurity risks in supply chains are established, prioritized, and integrated into contracts and other types of agreements with suppliers and other relevant third parties"/>
    <s v="Ex1: Establish security requirements for suppliers, products, and services commensurate with their criticality level and potential impact if compromised_x000a_Ex2: Include all cybersecurity and supply chain requirements that third parties must follow and how compliance with the requirements may be verified in default contractual language_x000a_Ex3: Define the rules and protocols for information sharing between the organization and its suppliers and sub-tier suppliers in agreements_x000a_Ex4: Manage risk by including security requirements in agreements based on their criticality and potential impact if compromised_x000a_Ex5: Define security requirements in service-level agreements (SLAs) for monitoring suppliers for acceptable security performance throughout the supplier relationship lifecycle_x000a_Ex6: Contractually require suppliers to disclose cybersecurity features, functions, and vulnerabilities of their products and services for the life of the product or the term of service_x000a_Ex7: Contractually require suppliers to provide and maintain a current component inventory (e.g., software or hardware bill of materials) for critical products_x000a_Ex8: Contractually require suppliers to vet their employees and guard against insider threats_x000a_Ex9: Contractually require suppliers to provide evidence of performing acceptable security practices through, for example, self-attestation, conformance to known standards, certifications, or inspections_x000a_Ex10: Specify in contracts and other agreements the rights and responsibilities of the organization, its suppliers, and their supply chains, with respect to potential cybersecurity risks"/>
    <s v="CCMv4.0: CCC-05_x000a_CCMv4.0: CEK-08_x000a_CCMv4.0: DSP-13_x000a_CCMv4.0: DSP-14_x000a_CCMv4.0: IPY-04_x000a_CCMv4.0: STA-02_x000a_CCMv4.0: STA-03_x000a_CCMv4.0: STA-04_x000a_CCMv4.0: STA-08_x000a_CCMv4.0: STA-09_x000a_CCMv4.0: STA-12_x000a_CCMv4.0: STA-13_x000a_CCMv4.0: UEM-14_x000a_CIS Controls v8.0: 15.4_x000a_CRI Profile v2.0: EX.CN_x000a_CRI Profile v2.0: EX.CN-01_x000a_CRI Profile v2.0: EX.CN-02_x000a_CRI Profile v2.0: EX.CN-01.01_x000a_CRI Profile v2.0: EX.CN-01.02_x000a_CRI Profile v2.0: EX.CN-01.03_x000a_CRI Profile v2.0: EX.CN-02.01_x000a_CRI Profile v2.0: EX.CN-02.02_x000a_CRI Profile v2.0: EX.CN-02.03_x000a_CRI Profile v2.0: EX.CN-02.04_x000a_CSF v1.1: ID.SC-3_x000a_SP 800-218: PO.1.3_x000a_SP 800-53 Rev 5.1.1: SA-04_x000a_SP 800-53 Rev 5.1.1: SA-09_x000a_SP 800-53 Rev 5.1.1: SR-03_x000a_SP 800-53 Rev 5.1.1: SR-05_x000a_SP 800-53 Rev 5.1.1: SR-06_x000a_SP 800-53 Rev 5.1.1: SR-10"/>
    <s v="Level 3: Managed"/>
    <n v="3"/>
    <m/>
    <s v="Level 4: Quantitatively Managed"/>
    <n v="4"/>
    <m/>
  </r>
  <r>
    <x v="0"/>
    <x v="5"/>
    <s v="GV.SC-06"/>
    <s v="Planning and due diligence are performed to reduce risks before entering into formal supplier or other third-party relationships"/>
    <s v="Ex1: Perform thorough due diligence on prospective suppliers that is consistent with procurement planning and commensurate with the level of risk, criticality, and complexity of each supplier relationship_x000a_Ex2: Assess the suitability of the technology and cybersecurity capabilities and the risk management practices of prospective suppliers_x000a_Ex3: Conduct supplier risk assessments against business and applicable cybersecurity requirements_x000a_Ex4: Assess the authenticity, integrity, and security of critical products prior to acquisition and use"/>
    <s v="CCMv4.0: STA-01_x000a_CCMv4.0: STA-08_x000a_CCMv4.0: STA-11_x000a_CIS Controls v8.0: 15.5_x000a_CRI Profile v2.0: EX.DD_x000a_CRI Profile v2.0: EX.DD-01_x000a_CRI Profile v2.0: EX.DD-02_x000a_CRI Profile v2.0: EX.DD-01.01_x000a_CRI Profile v2.0: EX.DD-01.02_x000a_CRI Profile v2.0: EX.DD-01.03_x000a_CRI Profile v2.0: EX.DD-02.01_x000a_CRI Profile v2.0: EX.DD-02.02_x000a_CRI Profile v2.0: EX.DD-02.03_x000a_CRI Profile v2.0: EX.DD-02.04_x000a_CSF v1.1: ID.SC-1_x000a_SP 800-221A: GV.PO-1_x000a_SP 800-53 Rev 5.1.1: SA-04_x000a_SP 800-53 Rev 5.1.1: SA-09_x000a_SP 800-53 Rev 5.1.1: SR-05_x000a_SP 800-53 Rev 5.1.1: SR-06"/>
    <s v="Level 3: Managed"/>
    <n v="3"/>
    <m/>
    <s v="Level 4: Quantitatively Managed"/>
    <n v="4"/>
    <m/>
  </r>
  <r>
    <x v="0"/>
    <x v="5"/>
    <s v="GV.SC-07"/>
    <s v="The risks posed by a supplier, their products and services, and other third parties are understood, recorded, prioritized, assessed, responded to, and monitored over the course of the relationship"/>
    <s v="Ex1: Adjust assessment formats and frequencies based on the third party's reputation and the criticality of the products or services they provide_x000a_Ex2: Evaluate third parties' evidence of compliance with contractual cybersecurity requirements, such as self-attestations, warranties, certifications, and other artifacts_x000a_Ex3: Monitor critical suppliers to ensure that they are fulfilling their security obligations throughout the supplier relationship lifecycle using a variety of methods and techniques, such as inspections, audits, tests, or other forms of evaluation_x000a_Ex4: Monitor critical suppliers, services, and products for changes to their risk profiles, and reevaluate supplier criticality and risk impact accordingly_x000a_Ex5: Plan for unexpected supplier and supply chain-related interruptions to ensure business continuity"/>
    <s v="CCMv4.0: STA-01_x000a_CCMv4.0: STA-08_x000a_CCMv4.0: STA-10_x000a_CCMv4.0: STA-11_x000a_CCMv4.0: STA-12_x000a_CCMv4.0: STA-13_x000a_CCMv4.0: STA-14_x000a_CCMv4.0: UEM-14_x000a_CIS Controls v8.0: 15.6_x000a_CRI Profile v2.0: EX.MM_x000a_CRI Profile v2.0: EX.MM-01_x000a_CRI Profile v2.0: EX.MM-02_x000a_CRI Profile v2.0: EX.MM-01.01_x000a_CRI Profile v2.0: EX.MM-01.02_x000a_CRI Profile v2.0: EX.MM-01.03_x000a_CRI Profile v2.0: EX.MM-01.04_x000a_CRI Profile v2.0: EX.MM-01.05_x000a_CRI Profile v2.0: EX.MM-01.06_x000a_CRI Profile v2.0: EX.MM-02.01_x000a_CRI Profile v2.0: EX.MM-02.02_x000a_CRI Profile v2.0: EX.MM-02.03_x000a_CSF v1.1: ID.SC-2_x000a_CSF v1.1: ID.SC-4_x000a_SP 800-218: PW.4.1_x000a_SP 800-218: PW.4.4_x000a_SP 800-221A: GV.CT-2_x000a_SP 800-221A: GV.CT-3_x000a_SP 800-221A: MA.RM-2_x000a_SP 800-221A: MA.RM-3_x000a_SP 800-53 Rev 5.1.1: RA-09_x000a_SP 800-53 Rev 5.1.1: SA-04_x000a_SP 800-53 Rev 5.1.1: SA-09_x000a_SP 800-53 Rev 5.1.1: SR-03_x000a_SP 800-53 Rev 5.1.1: SR-06"/>
    <s v="Level 3: Managed"/>
    <n v="3"/>
    <m/>
    <s v="Level 4: Quantitatively Managed"/>
    <n v="4"/>
    <m/>
  </r>
  <r>
    <x v="0"/>
    <x v="5"/>
    <s v="GV.SC-08"/>
    <s v="Relevant suppliers and other third parties are included in incident planning, response, and recovery activities"/>
    <s v="Ex1: Define and use rules and protocols for reporting incident response and recovery activities and the status between the organization and its suppliers_x000a_Ex2: Identify and document the roles and responsibilities of the organization and its suppliers for incident response_x000a_Ex3: Include critical suppliers in incident response exercises and simulations_x000a_Ex4: Define and coordinate crisis communication methods and protocols between the organization and its critical suppliers_x000a_Ex5: Conduct collaborative lessons learned sessions with critical suppliers"/>
    <s v="CCMv4.0: BCR-06_x000a_CCMv4.0: BCR-07_x000a_CCMv4.0: DSP-18_x000a_CCMv4.0: SEF-03_x000a_CCMv4.0: SEF-04_x000a_CCMv4.0: SEF-07_x000a_CCMv4.0: UEM-14_x000a_CIS Controls v8.0: 15.4_x000a_CRI Profile v2.0: GV.SC-08_x000a_CRI Profile v2.0: GV.SC-08.01_x000a_CSF v1.1: ID.SC-5_x000a_SP 800-221A: GV.CT-3_x000a_SP 800-53 Rev 5.1.1: SA-04_x000a_SP 800-53 Rev 5.1.1: SA-09_x000a_SP 800-53 Rev 5.1.1: SR-02_x000a_SP 800-53 Rev 5.1.1: SR-03_x000a_SP 800-53 Rev 5.1.1: SR-08_x000a_SP 800-53 Rev 5.1.1: CP-01_x000a_SP 800-53 Rev 5.1.1: IR-01"/>
    <s v="Level 3: Managed"/>
    <n v="3"/>
    <m/>
    <s v="Level 4: Quantitatively Managed"/>
    <n v="4"/>
    <m/>
  </r>
  <r>
    <x v="0"/>
    <x v="5"/>
    <s v="GV.SC-09"/>
    <s v="Supply chain security practices are integrated into cybersecurity and enterprise risk management programs, and their performance is monitored throughout the technology product and service life cycle"/>
    <s v="Ex1: Policies and procedures require provenance records for all acquired technology products and services_x000a_Ex2: Periodically provide risk reporting to leaders about how acquired components are proven to be untampered and authentic_x000a_Ex3: Communicate regularly among cybersecurity risk managers and operations personnel about the need to acquire software patches, updates, and upgrades only from authenticated and trustworthy software providers_x000a_Ex4: Review policies to ensure that they require approved supplier personnel to perform maintenance on supplier products_x000a_Ex5: Policies and procedure require checking upgrades to critical hardware for unauthorized changes"/>
    <s v="CCMv4.0: STA-11_x000a_CCMv4.0: STA-12_x000a_CIS Controls v8.0: 15.6_x000a_CRI Profile v2.0: GV.SC-09_x000a_CRI Profile v2.0: GV.SC-09.01_x000a_CSF v1.1: ID.SC-1_x000a_SP 800-221A: GV.PO-1_x000a_SP 800-53 Rev 5.1.1: PM-09_x000a_SP 800-53 Rev 5.1.1: PM-19_x000a_SP 800-53 Rev 5.1.1: PM-28_x000a_SP 800-53 Rev 5.1.1: PM-30_x000a_SP 800-53 Rev 5.1.1: PM-31_x000a_SP 800-53 Rev 5.1.1: RA-03_x000a_SP 800-53 Rev 5.1.1: RA-07_x000a_SP 800-53 Rev 5.1.1: SA-04_x000a_SP 800-53 Rev 5.1.1: SA-09_x000a_SP 800-53 Rev 5.1.1: SR-02_x000a_SP 800-53 Rev 5.1.1: SR-03_x000a_SP 800-53 Rev 5.1.1: SR-05_x000a_SP 800-53 Rev 5.1.1: SR-06"/>
    <s v="Level 3: Managed"/>
    <n v="3"/>
    <m/>
    <s v="Level 4: Quantitatively Managed"/>
    <n v="4"/>
    <m/>
  </r>
  <r>
    <x v="0"/>
    <x v="5"/>
    <s v="GV.SC-10"/>
    <s v="Cybersecurity supply chain risk management plans include provisions for activities that occur after the conclusion of a partnership or service agreement"/>
    <s v="Ex1: Establish processes for terminating critical relationships under both normal and adverse circumstances_x000a_Ex2: Define and implement plans for component end-of-life maintenance support and obsolescence_x000a_Ex3: Verify that supplier access to organization resources is deactivated promptly when it is no longer needed_x000a_Ex4: Verify that assets containing the organization's data are returned or properly disposed of in a timely, controlled, and safe manner_x000a_Ex5: Develop and execute a plan for terminating or transitioning supplier relationships that takes supply chain security risk and resiliency into account_x000a_Ex6: Mitigate risks to data and systems created by supplier termination_x000a_Ex7: Manage data leakage risks associated with supplier termination"/>
    <s v="CCMv4.0: DSP-02_x000a_CCMv4.0: DSP-16_x000a_CCMv4.0: HRS-05_x000a_CCMv4.0: IAM-07_x000a_CCMv4.0: IPY-04_x000a_CCMv4.0: SEF-04_x000a_CIS Controls v8.0: 15.7_x000a_CRI Profile v2.0: EX.TR_x000a_CRI Profile v2.0: EX.TR-01_x000a_CRI Profile v2.0: EX.TR-02_x000a_CRI Profile v2.0: EX.TR-01.01_x000a_CRI Profile v2.0: EX.TR-01.02_x000a_CRI Profile v2.0: EX.TR-01.03_x000a_CRI Profile v2.0: EX.TR-02.01_x000a_CSF v1.1: ID.SC-1_x000a_SP 800-221A: GV.PO-1_x000a_SP 800-53 Rev 5.1.1: PM-31_x000a_SP 800-53 Rev 5.1.1: RA-03_x000a_SP 800-53 Rev 5.1.1: RA-05_x000a_SP 800-53 Rev 5.1.1: RA-07_x000a_SP 800-53 Rev 5.1.1: SA-04_x000a_SP 800-53 Rev 5.1.1: SA-09_x000a_SP 800-53 Rev 5.1.1: SR-02_x000a_SP 800-53 Rev 5.1.1: SR-03_x000a_SP 800-53 Rev 5.1.1: SR-05_x000a_SP 800-53 Rev 5.1.1: SR-06"/>
    <s v="Level 3: Managed"/>
    <n v="3"/>
    <m/>
    <s v="Level 4: Quantitatively Managed"/>
    <n v="4"/>
    <m/>
  </r>
  <r>
    <x v="1"/>
    <x v="6"/>
    <s v="ID.AM-01"/>
    <s v="Inventories of hardware managed by the organization are maintained"/>
    <s v="Ex1: Maintain inventories for all types of hardware, including IT, IoT, OT, and mobile devices_x000a_Ex2: Constantly monitor networks to detect new hardware and automatically update inventories"/>
    <s v="CCMv4.0: CCC-04_x000a_CCMv4.0: DCS-06_x000a_CCMv4.0: DSP-19_x000a_CCMv4.0: UEM-04_x000a_CIS Controls v8.0: 1.1_x000a_CRI Profile v2.0: ID.AM-01_x000a_CRI Profile v2.0: ID.AM-01.01_x000a_CSF v1.1: ID.AM-1_x000a_SP 800-221A: MA.RI-1_x000a_SP 800-53 Rev 5.1.1: CM-08_x000a_SP 800-53 Rev 5.1.1: PM-05"/>
    <s v="Level 3: Managed"/>
    <n v="3"/>
    <m/>
    <s v="Level 4: Quantitatively Managed"/>
    <n v="4"/>
    <m/>
  </r>
  <r>
    <x v="1"/>
    <x v="6"/>
    <s v="ID.AM-02"/>
    <s v="Inventories of software, services, and systems managed by the organization are maintained"/>
    <s v="Ex1: Maintain inventories for all types of software and services, including commercial-off-the-shelf, open-source, custom applications, API services, and cloud-based applications and services_x000a_Ex2: Constantly monitor all platforms, including containers and virtual machines, for software and service inventory changes_x000a_Ex3: Maintain an inventory of the organization's systems"/>
    <s v="CCMv4.0: CCC-04_x000a_CCMv4.0: DCS-06_x000a_CCMv4.0: DSP-19_x000a_CCMv4.0: UEM-02_x000a_CCMv4.0: UEM-04_x000a_CIS Controls v8.0: 2.1_x000a_CRI Profile v2.0: ID.AM-02_x000a_CRI Profile v2.0: ID.AM-02.01_x000a_CSF v1.1: ID.AM-2_x000a_SP 800-221A: MA.RI-1_x000a_SP 800-53 Rev 5.1.1: AC-20_x000a_SP 800-53 Rev 5.1.1: CM-08_x000a_SP 800-53 Rev 5.1.1: PM-05_x000a_SP 800-53 Rev 5.1.1: SA-05_x000a_SP 800-53 Rev 5.1.1: SA-09"/>
    <s v="Level 3: Managed"/>
    <n v="3"/>
    <m/>
    <s v="Level 4: Quantitatively Managed"/>
    <n v="4"/>
    <m/>
  </r>
  <r>
    <x v="1"/>
    <x v="6"/>
    <s v="ID.AM-03"/>
    <s v="Representations of the organization's authorized network communication and internal and external network data flows are maintained"/>
    <s v="Ex1: Maintain baselines of communication and data flows within the organization's wired and wireless networks_x000a_Ex2: Maintain baselines of communication and data flows between the organization and third parties_x000a_Ex3: Maintain baselines of communication and data flows for the organization's infrastructure-as-a-service (IaaS) usage_x000a_Ex4: Maintain documentation of expected network ports, protocols, and services that are typically used among authorized systems"/>
    <s v="CCMv4.0: DSP-05_x000a_CCMv4.0: DSP-10_x000a_CCMv4.0: IPY-01_x000a_CCMv4.0: IVS-03_x000a_CCMv4.0: IVS-09_x000a_CCMv4.0: LOG-05_x000a_CIS Controls v8.0: 3.8_x000a_CRI Profile v2.0: ID.AM-03_x000a_CRI Profile v2.0: ID.AM-03.01_x000a_CSF v1.1: ID.AM-3_x000a_CSF v1.1: DE.AE-1_x000a_SP 800-53 Rev 5.1.1: AC-04_x000a_SP 800-53 Rev 5.1.1: CA-03_x000a_SP 800-53 Rev 5.1.1: CA-09_x000a_SP 800-53 Rev 5.1.1: PL-02_x000a_SP 800-53 Rev 5.1.1: PL-08_x000a_SP 800-53 Rev 5.1.1: PM-07"/>
    <s v="Level 3: Managed"/>
    <n v="3"/>
    <m/>
    <s v="Level 4: Quantitatively Managed"/>
    <n v="4"/>
    <m/>
  </r>
  <r>
    <x v="1"/>
    <x v="6"/>
    <s v="ID.AM-04"/>
    <s v="Inventories of services provided by suppliers are maintained"/>
    <s v="Ex1: Inventory all external services used by the organization, including third-party infrastructure-as-a-service (IaaS), platform-as-a-service (PaaS), and software-as-a-service (SaaS) offerings; APIs; and other externally hosted application services_x000a_Ex2: Update the inventory when a new external service is going to be utilized to ensure adequate cybersecurity risk management monitoring of the organization's use of that service"/>
    <s v="CCMv4.0: CCC-04_x000a_CCMv4.0: DCS-06_x000a_CCMv4.0: STA-07_x000a_CCMv4.0: UEM-02_x000a_CCMv4.0: UEM-04_x000a_CIS Controls v8.0: 15.1_x000a_CRI Profile v2.0: ID.AM-04_x000a_CRI Profile v2.0: ID.AM-04.01_x000a_CSF v1.1: ID.AM-4_x000a_SP 800-53 Rev 5.1.1: AC-20_x000a_SP 800-53 Rev 5.1.1: SA-09_x000a_SP 800-53 Rev 5.1.1: SR-02"/>
    <s v="Level 3: Managed"/>
    <n v="3"/>
    <m/>
    <s v="Level 4: Quantitatively Managed"/>
    <n v="4"/>
    <m/>
  </r>
  <r>
    <x v="1"/>
    <x v="6"/>
    <s v="ID.AM-05"/>
    <s v="Assets are prioritized based on classification, criticality, resources, and impact on the mission"/>
    <s v="Ex1: Define criteria for prioritizing each class of assets_x000a_Ex2: Apply the prioritization criteria to assets_x000a_Ex3: Track the asset priorities and update them periodically or when significant changes to the organization occur"/>
    <s v="CCMv4.0: CEK-04_x000a_CCMv4.0: DCS-05_x000a_CCMv4.0: DSP-04_x000a_CIS Controls v8.0: 3.7_x000a_CRI Profile v2.0: ID.AM-05_x000a_CRI Profile v2.0: ID.AM-05.01_x000a_CRI Profile v2.0: ID.AM-05.02_x000a_CSF v1.1: ID.AM-5_x000a_SP 800-221A: MA.RI-1_x000a_SP 800-53 Rev 5.1.1: RA-03_x000a_SP 800-53 Rev 5.1.1: RA-09_x000a_SP 800-53 Rev 5.1.1: RA-02"/>
    <s v="Level 3: Managed"/>
    <n v="3"/>
    <m/>
    <s v="Level 4: Quantitatively Managed"/>
    <n v="4"/>
    <m/>
  </r>
  <r>
    <x v="1"/>
    <x v="6"/>
    <s v="ID.AM-07"/>
    <s v="Inventories of data and corresponding metadata for designated data types are maintained"/>
    <s v="Ex1: Maintain a list of the designated data types of interest (e.g., personally identifiable information, protected health information, financial account numbers, organization intellectual property, operational technology data)_x000a_Ex2: Continuously discover and analyze ad hoc data to identify new instances of designated data types_x000a_Ex3: Assign data classifications to designated data types through tags or labels_x000a_Ex4: Track the provenance, data owner, and geolocation of each instance of designated data types"/>
    <s v="CCMv4.0: DSP-01_x000a_CCMv4.0: DSP-03_x000a_CCMv4.0: DSP-04_x000a_CCMv4.0: DSP-06_x000a_CCMv4.0: DSP-10_x000a_CCMv4.0: DSP-19_x000a_CCMv4.0: UEM-02_x000a_CIS Controls v8.0: 3.2_x000a_CRI Profile v2.0: ID.AM-07_x000a_CRI Profile v2.0: ID.AM-07.01_x000a_SP 800-221A: MA.RI-1_x000a_SP 800-53 Rev 5.1.1: CM-12_x000a_SP 800-53 Rev 5.1.1: CM-13_x000a_SP 800-53 Rev 5.1.1: SI-12"/>
    <s v="Level 1: Performed"/>
    <n v="1"/>
    <m/>
    <s v="Level 4: Quantitatively Managed"/>
    <n v="4"/>
    <m/>
  </r>
  <r>
    <x v="1"/>
    <x v="6"/>
    <s v="ID.AM-08"/>
    <s v="Systems, hardware, software, services, and data are managed throughout their life cycles"/>
    <s v="Ex1: Integrate cybersecurity considerations throughout the life cycles of systems, hardware, software, and services_x000a_Ex2: Integrate cybersecurity considerations into product life cycles_x000a_Ex3: Identify unofficial uses of technology to meet mission objectives (i.e., shadow IT)_x000a_Ex4: Periodically identify redundant systems, hardware, software, and services that unnecessarily increase the organization's attack surface_x000a_Ex5: Properly configure and secure systems, hardware, software, and services prior to their deployment in production_x000a_Ex6: Update inventories when systems, hardware, software, and services are moved or transferred within the organization_x000a_Ex7: Securely destroy stored data based on the organization's data retention policy using the prescribed destruction method, and keep and manage a record of the destructions_x000a_Ex8: Securely sanitize data storage when hardware is being retired, decommissioned, reassigned, or sent for repairs or replacement_x000a_Ex9: Offer methods for destroying paper, storage media, and other physical forms of data storage"/>
    <s v="CCMv4.0: AIS-02_x000a_CCMv4.0: AIS-04_x000a_CCMv4.0: AIS-05_x000a_CCMv4.0: AIS-06_x000a_CCMv4.0: AIS-07_x000a_CCMv4.0: CCC-04_x000a_CCMv4.0: CEK-14_x000a_CCMv4.0: CEK-21_x000a_CCMv4.0: DCS-01_x000a_CCMv4.0: DCS-02_x000a_CCMv4.0: DSP-02_x000a_CCMv4.0: DSP-07_x000a_CCMv4.0: DSP-16_x000a_CCMv4.0: DSP-19_x000a_CCMv4.0: HRS-05_x000a_CCMv4.0: IVS-01_x000a_CCMv4.0: LOG-02_x000a_CCMv4.0: LOG-06_x000a_CCMv4.0: UEM-03_x000a_CCMv4.0: UEM-05_x000a_CCMv4.0: UEM-09_x000a_CCMv4.0: UEM-10_x000a_CCMv4.0: UEM-11_x000a_CCMv4.0: UEM-13_x000a_CIS Controls v8.0: 1.1_x000a_CIS Controls v8.0: 3.5_x000a_CRI Profile v2.0: ID.AM-08_x000a_CRI Profile v2.0: ID.AM-08.01_x000a_CRI Profile v2.0: ID.AM-08.02_x000a_CRI Profile v2.0: ID.AM-08.03_x000a_CRI Profile v2.0: ID.AM-08.04_x000a_CRI Profile v2.0: ID.AM-08.05_x000a_CRI Profile v2.0: ID.AM-08.06_x000a_CSF v1.1: PR.DS-3_x000a_CSF v1.1: PR.IP-2_x000a_CSF v1.1: PR.MA-1_x000a_CSF v1.1: PR.MA-2_x000a_CSF v1.1: PR.IP-6_x000a_CSF v1.1: PR.DS_x000a_SP 800-218: PW.4.1_x000a_SP 800-218: PW.4.4_x000a_SP 800-221A: MA.RI-1_x000a_SP 800-53 Rev 5.1.1: CM-09_x000a_SP 800-53 Rev 5.1.1: CM-13_x000a_SP 800-53 Rev 5.1.1: MA-02_x000a_SP 800-53 Rev 5.1.1: MA-06_x000a_SP 800-53 Rev 5.1.1: PL-02_x000a_SP 800-53 Rev 5.1.1: PM-22_x000a_SP 800-53 Rev 5.1.1: PM-23_x000a_SP 800-53 Rev 5.1.1: SA-03_x000a_SP 800-53 Rev 5.1.1: SA-04_x000a_SP 800-53 Rev 5.1.1: SA-08_x000a_SP 800-53 Rev 5.1.1: SA-22_x000a_SP 800-53 Rev 5.1.1: SI-12_x000a_SP 800-53 Rev 5.1.1: SI-18_x000a_SP 800-53 Rev 5.1.1: SR-05_x000a_SP 800-53 Rev 5.1.1: SR-12"/>
    <s v="Level 1: Performed"/>
    <n v="1"/>
    <m/>
    <s v="Level 4: Quantitatively Managed"/>
    <n v="4"/>
    <m/>
  </r>
  <r>
    <x v="1"/>
    <x v="7"/>
    <s v="ID.RA-01"/>
    <s v="Vulnerabilities in assets are identified, validated, and recorded"/>
    <s v="Ex1: Use vulnerability management technologies to identify unpatched and misconfigured software_x000a_Ex2: Assess network and system architectures for design and implementation weaknesses that affect cybersecurity_x000a_Ex3: Review, analyze, or test organization-developed software to identify design, coding, and default configuration vulnerabilities_x000a_Ex4: Assess facilities that house critical computing assets for physical vulnerabilities and resilience issues_x000a_Ex5: Monitor sources of cyber threat intelligence for information on new vulnerabilities in products and services_x000a_Ex6: Review processes and procedures for weaknesses that could be exploited to affect cybersecurity"/>
    <s v="CCMv4.0: AIS-05_x000a_CCMv4.0: AIS-07_x000a_CCMv4.0: TVM-01_x000a_CCMv4.0: TVM-03_x000a_CCMv4.0: TVM-05_x000a_CCMv4.0: TVM-06_x000a_CCMv4.0: TVM-07_x000a_CCMv4.0: TVM-08_x000a_CCMv4.0: TVM-09_x000a_CCMv4.0: TVM-10_x000a_CIS Controls v8.0: 7.1_x000a_CRI Profile v2.0: ID.RA-01_x000a_CRI Profile v2.0: ID.RA-01.01_x000a_CRI Profile v2.0: ID.RA-01.02_x000a_CRI Profile v2.0: ID.RA-01.03_x000a_CSF v1.1: ID.RA-1_x000a_CSF v1.1: PR.IP-12_x000a_CSF v1.1: DE.CM-8_x000a_SP 800-218: PO.5.2_x000a_SP 800-221A: MA.RI-3_x000a_SP 800-53 Rev 5.1.1: CA-02_x000a_SP 800-53 Rev 5.1.1: CA-07_x000a_SP 800-53 Rev 5.1.1: CA-08_x000a_SP 800-53 Rev 5.1.1: RA-03_x000a_SP 800-53 Rev 5.1.1: RA-05_x000a_SP 800-53 Rev 5.1.1: SA-11(02)_x000a_SP 800-53 Rev 5.1.1: SA-15(07)_x000a_SP 800-53 Rev 5.1.1: SA-15(08)_x000a_SP 800-53 Rev 5.1.1: SI-04_x000a_SP 800-53 Rev 5.1.1: SI-05"/>
    <s v="Level 1: Performed"/>
    <n v="1"/>
    <m/>
    <s v="Level 4: Quantitatively Managed"/>
    <n v="4"/>
    <m/>
  </r>
  <r>
    <x v="1"/>
    <x v="7"/>
    <s v="ID.RA-02"/>
    <s v="Cyber threat intelligence is received from information sharing forums and sources"/>
    <s v="Ex1: Configure cybersecurity tools and technologies with detection or response capabilities to securely ingest cyber threat intelligence feeds_x000a_Ex2: Receive and review advisories from reputable third parties on current threat actors and their tactics, techniques, and procedures (TTPs)_x000a_Ex3: Monitor sources of cyber threat intelligence for information on the types of vulnerabilities that emerging technologies may have"/>
    <s v="CCMv4.0: GRC-08_x000a_CCMv4.0: TVM-04_x000a_CRI Profile v2.0: ID.RA-02_x000a_CRI Profile v2.0: ID.RA-02.01_x000a_CRI Profile v2.0: ID.RA-02.02_x000a_CSF v1.1: ID.RA-2_x000a_SP 800-221A: GV.BE-4_x000a_SP 800-53 Rev 5.1.1: SI-05_x000a_SP 800-53 Rev 5.1.1: PM-15_x000a_SP 800-53 Rev 5.1.1: PM-16"/>
    <s v="Level 1: Performed"/>
    <n v="1"/>
    <m/>
    <s v="Level 4: Quantitatively Managed"/>
    <n v="4"/>
    <m/>
  </r>
  <r>
    <x v="1"/>
    <x v="7"/>
    <s v="ID.RA-03"/>
    <s v="Internal and external threats to the organization are identified and recorded"/>
    <s v="Ex1: Use cyber threat intelligence to maintain awareness of the types of threat actors likely to target the organization and the TTPs they are likely to use_x000a_Ex2: Perform threat hunting to look for signs of threat actors within the environment_x000a_Ex3: Implement processes for identifying internal threat actors"/>
    <s v="CCMv4.0: A&amp;A-05_x000a_CCMv4.0: TVM-05_x000a_CRI Profile v2.0: ID.RA-03_x000a_CRI Profile v2.0: ID.RA-03.01_x000a_CRI Profile v2.0: ID.RA-03.02_x000a_CRI Profile v2.0: ID.RA-03.03_x000a_CRI Profile v2.0: ID.RA-03.04_x000a_CSF v1.1: ID.RA-3_x000a_SP 800-221A: MA.RI-2_x000a_SP 800-53 Rev 5.1.1: PM-12_x000a_SP 800-53 Rev 5.1.1: PM-16_x000a_SP 800-53 Rev 5.1.1: RA-03_x000a_SP 800-53 Rev 5.1.1: SI-05"/>
    <s v="Level 3: Managed"/>
    <n v="3"/>
    <m/>
    <s v="Level 4: Quantitatively Managed"/>
    <n v="4"/>
    <m/>
  </r>
  <r>
    <x v="1"/>
    <x v="7"/>
    <s v="ID.RA-04"/>
    <s v="Potential impacts and likelihoods of threats exploiting vulnerabilities are identified and recorded"/>
    <s v="Ex1: Business leaders and cybersecurity risk management practitioners work together to estimate the likelihood and impact of risk scenarios and record them in risk registers_x000a_Ex2: Enumerate the potential business impacts of unauthorized access to the organization's communications, systems, and data processed in or by those systems_x000a_Ex3: Account for the potential impacts of cascading failures for systems of systems"/>
    <s v="CCMv4.0: A&amp;A-05_x000a_CCMv4.0: BCR-02_x000a_CCMv4.0: CEK-06_x000a_CCMv4.0: CEK-07_x000a_CCMv4.0: CEK-20_x000a_CCMv4.0: TVM-09_x000a_CRI Profile v2.0: ID.RA-04_x000a_CRI Profile v2.0: ID.RA-04.01_x000a_CSF v1.1: ID.RA-4_x000a_SP 800-221A: MA.RI-4_x000a_SP 800-53 Rev 5.1.1: PM-09_x000a_SP 800-53 Rev 5.1.1: PM-11_x000a_SP 800-53 Rev 5.1.1: RA-02_x000a_SP 800-53 Rev 5.1.1: RA-03_x000a_SP 800-53 Rev 5.1.1: RA-08_x000a_SP 800-53 Rev 5.1.1: RA-09"/>
    <s v="Level 2: Documented"/>
    <n v="2"/>
    <m/>
    <s v="Level 4: Quantitatively Managed"/>
    <n v="4"/>
    <m/>
  </r>
  <r>
    <x v="1"/>
    <x v="7"/>
    <s v="ID.RA-05"/>
    <s v="Threats, vulnerabilities, likelihoods, and impacts are used to understand inherent risk and inform risk response prioritization"/>
    <s v="Ex1: Develop threat models to better understand risks to the data and identify appropriate risk responses_x000a_Ex2: Prioritize cybersecurity resource allocations and investments based on estimated likelihoods and impacts"/>
    <s v="CCMv4.0: A&amp;A-05_x000a_CCMv4.0: BCR-02_x000a_CCMv4.0: CEK-07_x000a_CCMv4.0: CEK-20_x000a_CCMv4.0: TVM-01_x000a_CCMv4.0: TVM-08_x000a_CRI Profile v2.0: ID.RA-05_x000a_CRI Profile v2.0: ID.RA-05.01_x000a_CRI Profile v2.0: ID.RA-05.02_x000a_CRI Profile v2.0: ID.RA-05.03_x000a_CRI Profile v2.0: ID.RA-05.04_x000a_CSF v1.1: ID.RA-5_x000a_SP 800-218: PW.1.1_x000a_SP 800-221A: MA.RA-2_x000a_SP 800-53 Rev 5.1.1: PM-16_x000a_SP 800-53 Rev 5.1.1: RA-02_x000a_SP 800-53 Rev 5.1.1: RA-03_x000a_SP 800-53 Rev 5.1.1: RA-07"/>
    <s v="Level 3: Managed"/>
    <n v="3"/>
    <m/>
    <s v="Level 4: Quantitatively Managed"/>
    <n v="4"/>
    <m/>
  </r>
  <r>
    <x v="1"/>
    <x v="7"/>
    <s v="ID.RA-06"/>
    <s v="Risk responses are chosen, prioritized, planned, tracked, and communicated"/>
    <s v="Ex1: Apply the vulnerability management plan's criteria for deciding whether to accept, transfer, mitigate, or avoid risk_x000a_Ex2: Apply the vulnerability management plan's criteria for selecting compensating controls to mitigate risk_x000a_Ex3: Track the progress of risk response implementation (e.g., plan of action and milestones [POA&amp;M], risk register, risk detail report)_x000a_Ex4: Use risk assessment findings to inform risk response decisions and actions_x000a_Ex5: Communicate planned risk responses to affected stakeholders in priority order"/>
    <s v="CCMv4.0: A&amp;A-05_x000a_CCMv4.0: A&amp;A-06_x000a_CCMv4.0: AIS-07_x000a_CCMv4.0: CEK-07_x000a_CCMv4.0: TVM-01_x000a_CCMv4.0: TVM-03_x000a_CCMv4.0: TVM-08_x000a_CCMv4.0: TVM-09_x000a_CCMv4.0: TVM-10_x000a_CRI Profile v2.0: ID.RA-06_x000a_CRI Profile v2.0: ID.RA-06.01_x000a_CRI Profile v2.0: ID.RA-06.02_x000a_CRI Profile v2.0: ID.RA-06.03_x000a_CRI Profile v2.0: ID.RA-06.04_x000a_CRI Profile v2.0: ID.RA-06.05_x000a_CRI Profile v2.0: ID.RA-06.06_x000a_CSF v1.1: ID.RA-6_x000a_CSF v1.1: RS.MI-3_x000a_SP 800-218: PO.5.2_x000a_SP 800-221A: MA.RP_x000a_SP 800-53 Rev 5.1.1: PM-09_x000a_SP 800-53 Rev 5.1.1: PM-18_x000a_SP 800-53 Rev 5.1.1: PM-30_x000a_SP 800-53 Rev 5.1.1: RA-07"/>
    <s v="Level 2: Documented"/>
    <n v="2"/>
    <m/>
    <s v="Level 4: Quantitatively Managed"/>
    <n v="4"/>
    <m/>
  </r>
  <r>
    <x v="1"/>
    <x v="7"/>
    <s v="ID.RA-07"/>
    <s v="Changes and exceptions are managed, assessed for risk impact, recorded, and tracked"/>
    <s v="Ex1: Implement and follow procedures for the formal documentation, review, testing, and approval of proposed changes and requested exceptions_x000a_Ex2: Document the possible risks of making or not making each proposed change, and provide guidance on rolling back changes_x000a_Ex3: Document the risks related to each requested exception and the plan for responding to those risks_x000a_Ex4: Periodically review risks that were accepted based upon planned future actions or milestones"/>
    <s v="CCMv4.0: A&amp;A-05_x000a_CCMv4.0: AIS-06_x000a_CCMv4.0: CCC-02_x000a_CCMv4.0: CCC-03_x000a_CCMv4.0: CCC-06_x000a_CCMv4.0: CCC-08_x000a_CCMv4.0: CCC-09_x000a_CCMv4.0: CEK-05_x000a_CCMv4.0: CEK-06_x000a_CCMv4.0: GRC-04_x000a_CCMv4.0: UEM-07_x000a_CRI Profile v2.0: ID.RA-07_x000a_CRI Profile v2.0: ID.RA-07.01_x000a_CRI Profile v2.0: ID.RA-07.02_x000a_CRI Profile v2.0: ID.RA-07.03_x000a_CRI Profile v2.0: ID.RA-07.04_x000a_CRI Profile v2.0: ID.RA-07.05_x000a_CSF v1.1: PR.IP-3_x000a_SP 800-218: PO.5.2_x000a_SP 800-221A: MA.RI-3_x000a_SP 800-53 Rev 5.1.1: CA-07_x000a_SP 800-53 Rev 5.1.1: CM-03_x000a_SP 800-53 Rev 5.1.1: CM-04"/>
    <s v="Level 2: Documented"/>
    <n v="2"/>
    <m/>
    <s v="Level 4: Quantitatively Managed"/>
    <n v="4"/>
    <m/>
  </r>
  <r>
    <x v="1"/>
    <x v="7"/>
    <s v="ID.RA-08"/>
    <s v="Processes for receiving, analyzing, and responding to vulnerability disclosures are established"/>
    <s v="Ex1: Conduct vulnerability information sharing between the organization and its suppliers following the rules and protocols defined in contracts_x000a_Ex2: Assign responsibilities and verify the execution of procedures for processing, analyzing the impact of, and responding to cybersecurity threat, vulnerability, or incident disclosures by suppliers, customers, partners, and government cybersecurity organizations"/>
    <s v="CCMv4.0: AIS-07_x000a_CCMv4.0: TVM-03_x000a_CCMv4.0: TVM-09_x000a_CIS Controls v8.0: 7.2_x000a_CRI Profile v2.0: ID.RA-08_x000a_CRI Profile v2.0: ID.RA-08.01_x000a_CRI Profile v2.0: ID.RA-08.02_x000a_CSF v1.1: RS.AN-5_x000a_SP 800-221A: MA.RI-3_x000a_SP 800-53 Rev 5.1.1: RA-05"/>
    <s v="Level 2: Documented"/>
    <n v="2"/>
    <m/>
    <s v="Level 4: Quantitatively Managed"/>
    <n v="4"/>
    <m/>
  </r>
  <r>
    <x v="1"/>
    <x v="7"/>
    <s v="ID.RA-09"/>
    <s v="The authenticity and integrity of hardware and software are assessed prior to acquisition and use"/>
    <s v="Ex1: Assess the authenticity and cybersecurity of critical technology products and services prior to acquisition and use"/>
    <s v="CCMv4.0: TVM-09_x000a_CRI Profile v2.0: EX.DD-04_x000a_CRI Profile v2.0: EX.DD-04.01_x000a_CRI Profile v2.0: EX.DD-04.02_x000a_CSF v1.1: PR.DS-8_x000a_SP 800-218: PO.5.2_x000a_SP 800-221A: MA.RI-3_x000a_SP 800-53 Rev 5.1.1: SA-04_x000a_SP 800-53 Rev 5.1.1: SA-05_x000a_SP 800-53 Rev 5.1.1: SA-10_x000a_SP 800-53 Rev 5.1.1: SA-11_x000a_SP 800-53 Rev 5.1.1: SA-15_x000a_SP 800-53 Rev 5.1.1: SA-17_x000a_SP 800-53 Rev 5.1.1: SI-07_x000a_SP 800-53 Rev 5.1.1: SR-05_x000a_SP 800-53 Rev 5.1.1: SR-06_x000a_SP 800-53 Rev 5.1.1: SR-10_x000a_SP 800-53 Rev 5.1.1: SR-11"/>
    <s v="Level 2: Documented"/>
    <n v="2"/>
    <m/>
    <s v="Level 4: Quantitatively Managed"/>
    <n v="4"/>
    <m/>
  </r>
  <r>
    <x v="1"/>
    <x v="7"/>
    <s v="ID.RA-10"/>
    <s v="Critical suppliers are assessed prior to acquisition"/>
    <s v="Ex1: Conduct supplier risk assessments against business and applicable cybersecurity requirements, including the supply chain"/>
    <s v="CCMv4.0: STA-08_x000a_CRI Profile v2.0: EX.DD-03_x000a_CRI Profile v2.0: EX.DD-03.01_x000a_CRI Profile v2.0: EX.DD-03.02_x000a_CRI Profile v2.0: EX.DD-03.03_x000a_CSF v1.1: ID.SC-2_x000a_CSF v1.1: ID.SC-4_x000a_SP 800-221A: GV.CT-2_x000a_SP 800-221A: GV.CT-3_x000a_SP 800-221A: MA.RM-2_x000a_SP 800-221A: MA.RM-3_x000a_SP 800-53 Rev 5.1.1: SR-06"/>
    <s v="Level 2: Documented"/>
    <n v="2"/>
    <m/>
    <s v="Level 4: Quantitatively Managed"/>
    <n v="4"/>
    <m/>
  </r>
  <r>
    <x v="1"/>
    <x v="8"/>
    <s v="ID.IM-01"/>
    <s v="Improvements are identified from evaluations"/>
    <s v="Ex1: Perform self-assessments of critical services that take current threats and TTPs into consideration_x000a_Ex2: Invest in third-party assessments or independent audits of the effectiveness of the organization's cybersecurity program to identify areas that need improvement_x000a_Ex3: Constantly evaluate compliance with selected cybersecurity requirements through automated means"/>
    <s v="CCMv4.0: A&amp;A-02_x000a_CCMv4.0: A&amp;A-03_x000a_CCMv4.0: A&amp;A-04_x000a_CCMv4.0: A&amp;A-05_x000a_CCMv4.0: CEK-09_x000a_CCMv4.0: SEF-04_x000a_CCMv4.0: SEF-05_x000a_CCMv4.0: STA-06_x000a_CCMv4.0: STA-11_x000a_CCMv4.0: STA-13_x000a_CRI Profile v2.0: ID.IM-01_x000a_CRI Profile v2.0: ID.IM-01.01_x000a_CRI Profile v2.0: ID.IM-01.02_x000a_CRI Profile v2.0: ID.IM-01.03_x000a_CRI Profile v2.0: ID.IM-01.04_x000a_CRI Profile v2.0: ID.IM-01.05_x000a_SP 800-53 Rev 5.1.1: AC-01_x000a_SP 800-53 Rev 5.1.1: AT-01_x000a_SP 800-53 Rev 5.1.1: AU-01_x000a_SP 800-53 Rev 5.1.1: CA-01_x000a_SP 800-53 Rev 5.1.1: CM-01_x000a_SP 800-53 Rev 5.1.1: CP-01_x000a_SP 800-53 Rev 5.1.1: IA-01_x000a_SP 800-53 Rev 5.1.1: IR-01_x000a_SP 800-53 Rev 5.1.1: MA-01_x000a_SP 800-53 Rev 5.1.1: MP-01_x000a_SP 800-53 Rev 5.1.1: PE-01_x000a_SP 800-53 Rev 5.1.1: PL-01_x000a_SP 800-53 Rev 5.1.1: PM-01_x000a_SP 800-53 Rev 5.1.1: PS-01_x000a_SP 800-53 Rev 5.1.1: PT-01_x000a_SP 800-53 Rev 5.1.1: RA-01_x000a_SP 800-53 Rev 5.1.1: SA-01_x000a_SP 800-53 Rev 5.1.1: SC-01_x000a_SP 800-53 Rev 5.1.1: SI-01_x000a_SP 800-53 Rev 5.1.1: SR-01_x000a_SP 800-53 Rev 5.1.1: CA-02_x000a_SP 800-53 Rev 5.1.1: CA-05_x000a_SP 800-53 Rev 5.1.1: CA-07_x000a_SP 800-53 Rev 5.1.1: CA-08_x000a_SP 800-53 Rev 5.1.1: CP-02_x000a_SP 800-53 Rev 5.1.1: IR-04_x000a_SP 800-53 Rev 5.1.1: IR-08_x000a_SP 800-53 Rev 5.1.1: PL-02_x000a_SP 800-53 Rev 5.1.1: RA-03_x000a_SP 800-53 Rev 5.1.1: RA-05_x000a_SP 800-53 Rev 5.1.1: RA-07_x000a_SP 800-53 Rev 5.1.1: SA-08_x000a_SP 800-53 Rev 5.1.1: SA-11_x000a_SP 800-53 Rev 5.1.1: SA-17(06)_x000a_SP 800-53 Rev 5.1.1: SI-02_x000a_SP 800-53 Rev 5.1.1: SI-04_x000a_SP 800-53 Rev 5.1.1: SR-05"/>
    <s v="Level 2: Documented"/>
    <n v="2"/>
    <m/>
    <s v="Level 4: Quantitatively Managed"/>
    <n v="4"/>
    <m/>
  </r>
  <r>
    <x v="1"/>
    <x v="8"/>
    <s v="ID.IM-02"/>
    <s v="Improvements are identified from security tests and exercises, including those done in coordination with suppliers and relevant third parties"/>
    <s v="Ex1: Identify improvements for future incident response activities based on findings from incident response assessments (e.g., tabletop exercises and simulations, tests, internal reviews, independent audits)_x000a_Ex2: Identify improvements for future business continuity, disaster recovery, and incident response activities based on exercises performed in coordination with critical service providers and product suppliers_x000a_Ex3: Involve internal stakeholders (e.g., senior executives, legal department, HR) in security tests and exercises as appropriate_x000a_Ex4: Perform penetration testing to identify opportunities to improve the security posture of selected high-risk systems as approved by leadership_x000a_Ex5: Exercise contingency plans for responding to and recovering from the discovery that products or services did not originate with the contracted supplier or partner or were altered before receipt_x000a_Ex6: Collect and analyze performance metrics using security tools and services to inform improvements to the cybersecurity program"/>
    <s v="CCMv4.0: BCR-06_x000a_CCMv4.0: BCR-07_x000a_CCMv4.0: BCR-10_x000a_CCMv4.0: SEF-01_x000a_CCMv4.0: SEF-03_x000a_CCMv4.0: SEF-04_x000a_CCMv4.0: SEF-05_x000a_CCMv4.0: STA-14_x000a_CCMv4.0: TVM-06_x000a_CCMv4.0: UEM-14_x000a_CIS Controls v8.0: 17.7_x000a_CRI Profile v2.0: ID.IM-02_x000a_CRI Profile v2.0: ID.IM-02.01_x000a_CRI Profile v2.0: ID.IM-02.02_x000a_CRI Profile v2.0: ID.IM-02.03_x000a_CRI Profile v2.0: ID.IM-02.04_x000a_CRI Profile v2.0: ID.IM-02.05_x000a_CRI Profile v2.0: ID.IM-02.06_x000a_CRI Profile v2.0: ID.IM-02.07_x000a_CRI Profile v2.0: ID.IM-02.08_x000a_CRI Profile v2.0: ID.IM-02.09_x000a_CSF v1.1: ID.SC-5_x000a_CSF v1.1: PR.IP-10_x000a_CSF v1.1: DE.DP-3_x000a_SP 800-221A: GV.CT-3_x000a_SP 800-53 Rev 5.1.1: AC-01_x000a_SP 800-53 Rev 5.1.1: AT-01_x000a_SP 800-53 Rev 5.1.1: AU-01_x000a_SP 800-53 Rev 5.1.1: CA-01_x000a_SP 800-53 Rev 5.1.1: CM-01_x000a_SP 800-53 Rev 5.1.1: CP-01_x000a_SP 800-53 Rev 5.1.1: IA-01_x000a_SP 800-53 Rev 5.1.1: IR-01_x000a_SP 800-53 Rev 5.1.1: MA-01_x000a_SP 800-53 Rev 5.1.1: MP-01_x000a_SP 800-53 Rev 5.1.1: PE-01_x000a_SP 800-53 Rev 5.1.1: PL-01_x000a_SP 800-53 Rev 5.1.1: PM-01_x000a_SP 800-53 Rev 5.1.1: PS-01_x000a_SP 800-53 Rev 5.1.1: PT-01_x000a_SP 800-53 Rev 5.1.1: RA-01_x000a_SP 800-53 Rev 5.1.1: SA-01_x000a_SP 800-53 Rev 5.1.1: SC-01_x000a_SP 800-53 Rev 5.1.1: SI-01_x000a_SP 800-53 Rev 5.1.1: SR-01_x000a_SP 800-53 Rev 5.1.1: CA-02_x000a_SP 800-53 Rev 5.1.1: CA-05_x000a_SP 800-53 Rev 5.1.1: CA-07_x000a_SP 800-53 Rev 5.1.1: CA-08_x000a_SP 800-53 Rev 5.1.1: CP-02_x000a_SP 800-53 Rev 5.1.1: CP-04_x000a_SP 800-53 Rev 5.1.1: IR-03_x000a_SP 800-53 Rev 5.1.1: IR-04_x000a_SP 800-53 Rev 5.1.1: IR-08_x000a_SP 800-53 Rev 5.1.1: PL-02_x000a_SP 800-53 Rev 5.1.1: PM-04_x000a_SP 800-53 Rev 5.1.1: PM-31_x000a_SP 800-53 Rev 5.1.1: RA-03_x000a_SP 800-53 Rev 5.1.1: RA-05_x000a_SP 800-53 Rev 5.1.1: RA-07_x000a_SP 800-53 Rev 5.1.1: SA-08_x000a_SP 800-53 Rev 5.1.1: SA-11_x000a_SP 800-53 Rev 5.1.1: SI-02_x000a_SP 800-53 Rev 5.1.1: SI-04_x000a_SP 800-53 Rev 5.1.1: SR-05"/>
    <s v="Level 2: Documented"/>
    <n v="2"/>
    <m/>
    <s v="Level 4: Quantitatively Managed"/>
    <n v="4"/>
    <m/>
  </r>
  <r>
    <x v="1"/>
    <x v="8"/>
    <s v="ID.IM-03"/>
    <s v="Improvements are identified from execution of operational processes, procedures, and activities"/>
    <s v="Ex1: Conduct collaborative lessons learned sessions with suppliers_x000a_Ex2: Annually review cybersecurity policies, processes, and procedures to take lessons learned into account_x000a_Ex3: Use metrics to assess operational cybersecurity performance over time"/>
    <s v="CCMv4.0: A&amp;A-01_x000a_CCMv4.0: AIS-01_x000a_CCMv4.0: AIS-03_x000a_CCMv4.0: BCR-01_x000a_CCMv4.0: CCC-01_x000a_CCMv4.0: CEK-01_x000a_CCMv4.0: DCS-01_x000a_CCMv4.0: DCS-02_x000a_CCMv4.0: DCS-03_x000a_CCMv4.0: DCS-04_x000a_CCMv4.0: DSP-01_x000a_CCMv4.0: GRC-01_x000a_CCMv4.0: HRS-01_x000a_CCMv4.0: HRS-02_x000a_CCMv4.0: HRS-03_x000a_CCMv4.0: HRS-04_x000a_CCMv4.0: IAM-01_x000a_CCMv4.0: IAM-02_x000a_CCMv4.0: IPY-01_x000a_CCMv4.0: IVS-01_x000a_CCMv4.0: LOG-01_x000a_CCMv4.0: SEF-01_x000a_CCMv4.0: SEF-02_x000a_CCMv4.0: SEF-04_x000a_CCMv4.0: STA-01_x000a_CCMv4.0: TVM-01_x000a_CCMv4.0: TVM-02_x000a_CCMv4.0: UEM-01_x000a_CRI Profile v2.0: ID.IM-03_x000a_CRI Profile v2.0: ID.IM-03.01_x000a_CRI Profile v2.0: ID.IM-03.02_x000a_CSF v1.1: PR.IP-7_x000a_CSF v1.1: PR.IP-8_x000a_CSF v1.1: DE.DP-5_x000a_CSF v1.1: RS.IM-1_x000a_CSF v1.1: RS.IM-2_x000a_CSF v1.1: RC.IM-1_x000a_CSF v1.1: RC.IM-2_x000a_SP 800-221A: GV.AD-1_x000a_SP 800-221A: MA.RM-6_x000a_SP 800-221A: MA.IM-1_x000a_SP 800-53 Rev 5.1.1: AC-01_x000a_SP 800-53 Rev 5.1.1: AT-01_x000a_SP 800-53 Rev 5.1.1: AU-01_x000a_SP 800-53 Rev 5.1.1: CA-01_x000a_SP 800-53 Rev 5.1.1: CM-01_x000a_SP 800-53 Rev 5.1.1: CP-01_x000a_SP 800-53 Rev 5.1.1: IA-01_x000a_SP 800-53 Rev 5.1.1: IR-01_x000a_SP 800-53 Rev 5.1.1: MA-01_x000a_SP 800-53 Rev 5.1.1: MP-01_x000a_SP 800-53 Rev 5.1.1: PE-01_x000a_SP 800-53 Rev 5.1.1: PL-01_x000a_SP 800-53 Rev 5.1.1: PM-01_x000a_SP 800-53 Rev 5.1.1: PS-01_x000a_SP 800-53 Rev 5.1.1: PT-01_x000a_SP 800-53 Rev 5.1.1: RA-01_x000a_SP 800-53 Rev 5.1.1: SA-01_x000a_SP 800-53 Rev 5.1.1: SC-01_x000a_SP 800-53 Rev 5.1.1: SI-01_x000a_SP 800-53 Rev 5.1.1: SR-01_x000a_SP 800-53 Rev 5.1.1: CA-02_x000a_SP 800-53 Rev 5.1.1: CA-05_x000a_SP 800-53 Rev 5.1.1: CA-07_x000a_SP 800-53 Rev 5.1.1: CA-08_x000a_SP 800-53 Rev 5.1.1: CP-02_x000a_SP 800-53 Rev 5.1.1: IR-04_x000a_SP 800-53 Rev 5.1.1: IR-08_x000a_SP 800-53 Rev 5.1.1: PL-02_x000a_SP 800-53 Rev 5.1.1: PM-04_x000a_SP 800-53 Rev 5.1.1: PM-31_x000a_SP 800-53 Rev 5.1.1: RA-03_x000a_SP 800-53 Rev 5.1.1: RA-05_x000a_SP 800-53 Rev 5.1.1: RA-07_x000a_SP 800-53 Rev 5.1.1: SA-04_x000a_SP 800-53 Rev 5.1.1: SA-08_x000a_SP 800-53 Rev 5.1.1: SA-11_x000a_SP 800-53 Rev 5.1.1: SI-02_x000a_SP 800-53 Rev 5.1.1: SI-04_x000a_SP 800-53 Rev 5.1.1: SR-05"/>
    <s v="Level 3: Managed"/>
    <n v="3"/>
    <m/>
    <s v="Level 4: Quantitatively Managed"/>
    <n v="4"/>
    <m/>
  </r>
  <r>
    <x v="1"/>
    <x v="8"/>
    <s v="ID.IM-04"/>
    <s v="Incident response plans and other cybersecurity plans that affect operations are established, communicated, maintained, and improved"/>
    <s v="Ex1: Establish contingency plans (e.g., incident response, business continuity, disaster recovery) for responding to and recovering from adverse events that can interfere with operations, expose confidential information, or otherwise endanger the organization's mission and viability_x000a_Ex2: Include contact and communication information, processes for handling common scenarios, and criteria for prioritization, escalation, and elevation in all contingency plans_x000a_Ex3: Create a vulnerability management plan to identify and assess all types of vulnerabilities and to prioritize, test, and implement risk responses_x000a_Ex4: Communicate cybersecurity plans (including updates) to those responsible for carrying them out and to affected parties_x000a_Ex5: Review and update all cybersecurity plans annually or when a need for significant improvements is identified"/>
    <s v="CCMv4.0: BCR-01_x000a_CCMv4.0: BCR-04_x000a_CCMv4.0: BCR-05_x000a_CCMv4.0: BCR-09_x000a_CCMv4.0: CEK-20_x000a_CCMv4.0: SEF-01_x000a_CCMv4.0: SEF-02_x000a_CCMv4.0: SEF-03_x000a_CCMv4.0: SEF-04_x000a_CCMv4.0: SEF-05_x000a_CRI Profile v2.0: ID.IM-04_x000a_CRI Profile v2.0: ID.IM-04.01_x000a_CRI Profile v2.0: ID.IM-04.02_x000a_CRI Profile v2.0: ID.IM-04.03_x000a_CRI Profile v2.0: ID.IM-04.04_x000a_CRI Profile v2.0: ID.IM-04.05_x000a_CRI Profile v2.0: ID.IM-04.06_x000a_CRI Profile v2.0: ID.IM-04.07_x000a_CRI Profile v2.0: ID.IM-04.08_x000a_CSF v1.1: PR.IP-9_x000a_CSF v1.1: RS.IM-1_x000a_CSF v1.1: RC.IM-1_x000a_CSF v1.1: PR.IP-10_x000a_SP 800-221A: MA.RR-4_x000a_SP 800-221A: MA.IM-1_x000a_SP 800-53 Rev 5.1.1: CP-02_x000a_SP 800-53 Rev 5.1.1: IR-08_x000a_SP 800-53 Rev 5.1.1: PL-02_x000a_SP 800-53 Rev 5.1.1: SR-02"/>
    <s v="Level 3: Managed"/>
    <n v="3"/>
    <m/>
    <s v="Level 4: Quantitatively Managed"/>
    <n v="4"/>
    <m/>
  </r>
  <r>
    <x v="2"/>
    <x v="9"/>
    <s v="PR.AA-01"/>
    <s v="Identities and credentials for authorized users, services, and hardware are managed by the organization"/>
    <s v="Ex1: Initiate requests for new access or additional access for employees, contractors, and others, and track, review, and fulfill the requests, with permission from system or data owners when needed_x000a_Ex2: Issue, manage, and revoke cryptographic certificates and identity tokens, cryptographic keys (i.e., key management), and other credentials_x000a_Ex3: Select a unique identifier for each device from immutable hardware characteristics or an identifier securely provisioned to the device_x000a_Ex4: Physically label authorized hardware with an identifier for inventory and servicing purposes"/>
    <s v="CCMv4.0: CEK-01_x000a_CCMv4.0: CEK-10_x000a_CCMv4.0: CEK-11_x000a_CCMv4.0: CEK-12_x000a_CCMv4.0: CEK-13_x000a_CCMv4.0: CEK-14_x000a_CCMv4.0: CEK-15_x000a_CCMv4.0: CEK-16_x000a_CCMv4.0: CEK-17_x000a_CCMv4.0: CEK-18_x000a_CCMv4.0: CEK-19_x000a_CCMv4.0: CEK-20_x000a_CCMv4.0: CEK-21_x000a_CCMv4.0: DCS-08_x000a_CCMv4.0: IAM-01_x000a_CCMv4.0: IAM-03_x000a_CCMv4.0: IAM-06_x000a_CCMv4.0: IAM-07_x000a_CCMv4.0: IAM-09_x000a_CCMv4.0: IAM-13_x000a_CCMv4.0: IAM-14_x000a_CCMv4.0: IAM-15_x000a_CCMv4.0: IAM-16_x000a_CCMv4.0: UEM-14_x000a_CIS Controls v8.0: 5.1_x000a_CIS Controls v8.0: 6.7_x000a_CRI Profile v2.0: PR.AA-01_x000a_CRI Profile v2.0: PR.AA-01.01_x000a_CRI Profile v2.0: PR.AA-01.02_x000a_CSF v1.1: PR.AC-1_x000a_SP 800-53 Rev 5.1.1: AC-01_x000a_SP 800-53 Rev 5.1.1: AC-02_x000a_SP 800-53 Rev 5.1.1: AC-14_x000a_SP 800-53 Rev 5.1.1: IA-01_x000a_SP 800-53 Rev 5.1.1: IA-02_x000a_SP 800-53 Rev 5.1.1: IA-03_x000a_SP 800-53 Rev 5.1.1: IA-04_x000a_SP 800-53 Rev 5.1.1: IA-05_x000a_SP 800-53 Rev 5.1.1: IA-06_x000a_SP 800-53 Rev 5.1.1: IA-07_x000a_SP 800-53 Rev 5.1.1: IA-08_x000a_SP 800-53 Rev 5.1.1: IA-09_x000a_SP 800-53 Rev 5.1.1: IA-10_x000a_SP 800-53 Rev 5.1.1: IA-11"/>
    <s v="Level 3: Managed"/>
    <n v="3"/>
    <m/>
    <s v="Level 4: Quantitatively Managed"/>
    <n v="4"/>
    <m/>
  </r>
  <r>
    <x v="2"/>
    <x v="9"/>
    <s v="PR.AA-02"/>
    <s v="Identities are proofed and bound to credentials based on the context of interactions"/>
    <s v="Ex1: Verify a person's claimed identity at enrollment time using government-issued identity credentials (e.g., passport, visa, driver's license)_x000a_Ex2: Issue a different credential for each person (i.e., no credential sharing)"/>
    <s v="CCMv4.0: IAM-01_x000a_CCMv4.0: IAM-03_x000a_CCMv4.0: IAM-13_x000a_CCMv4.0: IAM-14_x000a_CCMv4.0: IAM-16_x000a_CCMv4.0: UEM-14_x000a_CRI Profile v2.0: PR.AA-02_x000a_CRI Profile v2.0: PR.AA-02.01_x000a_CSF v1.1: PR.AC-6_x000a_SP 800-53 Rev 5.1.1: IA-12"/>
    <s v="Level 3: Managed"/>
    <n v="3"/>
    <m/>
    <s v="Level 4: Quantitatively Managed"/>
    <n v="4"/>
    <m/>
  </r>
  <r>
    <x v="2"/>
    <x v="9"/>
    <s v="PR.AA-03"/>
    <s v="Users, services, and hardware are authenticated"/>
    <s v="Ex1: Require multifactor authentication_x000a_Ex2: Enforce policies for the minimum strength of passwords, PINs, and similar authenticators_x000a_Ex3: Periodically reauthenticate users, services, and hardware based on risk (e.g., in zero trust architectures)_x000a_Ex4: Ensure that authorized personnel can access accounts essential for protecting safety under emergency conditions"/>
    <s v="CCMv4.0: DCS-08_x000a_CCMv4.0: IAM-01_x000a_CCMv4.0: IAM-02_x000a_CCMv4.0: IAM-14_x000a_CCMv4.0: IAM-16_x000a_CCMv4.0: IVS-03_x000a_CCMv4.0: UEM-05_x000a_CCMv4.0: UEM-06_x000a_CCMv4.0: UEM-14_x000a_CRI Profile v2.0: PR.AA-03_x000a_CRI Profile v2.0: PR.AA-03.01_x000a_CRI Profile v2.0: PR.AA-03.02_x000a_CRI Profile v2.0: PR.AA-03.03_x000a_CSF v1.1: PR.AC-3_x000a_CSF v1.1: PR.AC-7_x000a_SP 800-218: PO.5.2_x000a_SP 800-53 Rev 5.1.1: AC-07_x000a_SP 800-53 Rev 5.1.1: AC-12_x000a_SP 800-53 Rev 5.1.1: IA-02_x000a_SP 800-53 Rev 5.1.1: IA-03_x000a_SP 800-53 Rev 5.1.1: IA-05_x000a_SP 800-53 Rev 5.1.1: IA-07_x000a_SP 800-53 Rev 5.1.1: IA-08_x000a_SP 800-53 Rev 5.1.1: IA-09_x000a_SP 800-53 Rev 5.1.1: IA-10_x000a_SP 800-53 Rev 5.1.1: IA-11"/>
    <s v="Level 3: Managed"/>
    <n v="3"/>
    <m/>
    <s v="Level 4: Quantitatively Managed"/>
    <n v="4"/>
    <m/>
  </r>
  <r>
    <x v="2"/>
    <x v="9"/>
    <s v="PR.AA-04"/>
    <s v="Identity assertions are protected, conveyed, and verified"/>
    <s v="Ex1: Protect identity assertions that are used to convey authentication and user information through single sign-on systems_x000a_Ex2: Protect identity assertions that are used to convey authentication and user information between federated systems_x000a_Ex3: Implement standards-based approaches for identity assertions in all contexts, and follow all guidance for the generation (e.g., data models, metadata), protection (e.g., digital signing, encryption), and verification (e.g., signature validation) of identity assertions"/>
    <s v="CCMv4.0: IAM-01_x000a_CCMv4.0: IAM-03_x000a_CCMv4.0: IAM-16_x000a_CRI Profile v2.0: PR.AA-04_x000a_CRI Profile v2.0: PR.AA-04.01_x000a_SP 800-53 Rev 5.1.1: IA-13"/>
    <s v="Level 3: Managed"/>
    <n v="3"/>
    <m/>
    <s v="Level 4: Quantitatively Managed"/>
    <n v="4"/>
    <m/>
  </r>
  <r>
    <x v="2"/>
    <x v="9"/>
    <s v="PR.AA-05"/>
    <s v="Access permissions, entitlements, and authorizations are defined in a policy, managed, enforced, and reviewed, and incorporate the principles of least privilege and separation of duties"/>
    <s v="Ex1: Review logical and physical access privileges periodically and whenever someone changes roles or leaves the organization, and promptly rescind privileges that are no longer needed_x000a_Ex2: Take attributes of the requester and the requested resource into account for authorization decisions (e.g., geolocation, day/time, requester endpoint's cyber health)_x000a_Ex3: Restrict access and privileges to the minimum necessary (e.g., zero trust architecture)_x000a_Ex4: Periodically review the privileges associated with critical business functions to confirm proper separation of duties"/>
    <s v="CCMv4.0: CCC-04_x000a_CCMv4.0: CEK-10_x000a_CCMv4.0: CEK-11_x000a_CCMv4.0: CEK-12_x000a_CCMv4.0: CEK-13_x000a_CCMv4.0: CEK-14_x000a_CCMv4.0: CEK-15_x000a_CCMv4.0: CEK-16_x000a_CCMv4.0: CEK-17_x000a_CCMv4.0: CEK-18_x000a_CCMv4.0: CEK-19_x000a_CCMv4.0: CEK-20_x000a_CCMv4.0: CEK-21_x000a_CCMv4.0: IAM-01_x000a_CCMv4.0: IAM-03_x000a_CCMv4.0: IAM-04_x000a_CCMv4.0: IAM-05_x000a_CCMv4.0: IAM-06_x000a_CCMv4.0: IAM-07_x000a_CCMv4.0: IAM-08_x000a_CCMv4.0: IAM-09_x000a_CCMv4.0: IAM-10_x000a_CCMv4.0: IAM-11_x000a_CCMv4.0: IAM-12_x000a_CCMv4.0: IAM-16_x000a_CCMv4.0: IVS-03_x000a_CCMv4.0: IVS-06_x000a_CCMv4.0: LOG-02_x000a_CCMv4.0: LOG-04_x000a_CCMv4.0: LOG-09_x000a_CCMv4.0: UEM-05_x000a_CCMv4.0: UEM-14_x000a_CIS Controls v8.0: 3.3_x000a_CIS Controls v8.0: 6.8_x000a_CRI Profile v2.0: PR.AA-05_x000a_CRI Profile v2.0: PR.AA-05.01_x000a_CRI Profile v2.0: PR.AA-05.02_x000a_CRI Profile v2.0: PR.AA-05.03_x000a_CRI Profile v2.0: PR.AA-05.04_x000a_CSF v1.1: PR.AC-1_x000a_CSF v1.1: PR.AC-3_x000a_CSF v1.1: PR.AC-4_x000a_SP 800-218: PO.5.2_x000a_SP 800-218: PS.1.1_x000a_SP 800-53 Rev 5.1.1: AC-01_x000a_SP 800-53 Rev 5.1.1: AC-02_x000a_SP 800-53 Rev 5.1.1: AC-03_x000a_SP 800-53 Rev 5.1.1: AC-05_x000a_SP 800-53 Rev 5.1.1: AC-06_x000a_SP 800-53 Rev 5.1.1: AC-10_x000a_SP 800-53 Rev 5.1.1: AC-16_x000a_SP 800-53 Rev 5.1.1: AC-17_x000a_SP 800-53 Rev 5.1.1: AC-18_x000a_SP 800-53 Rev 5.1.1: AC-19_x000a_SP 800-53 Rev 5.1.1: AC-24_x000a_SP 800-53 Rev 5.1.1: IA-13"/>
    <s v="Level 3: Managed"/>
    <n v="3"/>
    <m/>
    <s v="Level 4: Quantitatively Managed"/>
    <n v="4"/>
    <m/>
  </r>
  <r>
    <x v="2"/>
    <x v="9"/>
    <s v="PR.AA-06"/>
    <s v="Physical access to assets is managed, monitored, and enforced commensurate with risk"/>
    <s v="Ex1: Use security guards, security cameras, locked entrances, alarm systems, and other physical controls to monitor facilities and restrict access_x000a_Ex2: Employ additional physical security controls for areas that contain high-risk assets_x000a_Ex3: Escort guests, vendors, and other third parties within areas that contain business-critical assets"/>
    <s v="CCMv4.0: DCS-03_x000a_CCMv4.0: DCS-07_x000a_CCMv4.0: DCS-09_x000a_CCMv4.0: DCS-10_x000a_CCMv4.0: DCS-12_x000a_CCMv4.0: DCS-14_x000a_CCMv4.0: HRS-04_x000a_CCMv4.0: LOG-12_x000a_CCMv4.0: UEM-05_x000a_CCMv4.0: UEM-06_x000a_CCMv4.0: UEM-14_x000a_CRI Profile v2.0: PR.AA-06_x000a_CRI Profile v2.0: PR.AA-06.01_x000a_CRI Profile v2.0: PR.AA-06.02_x000a_CSF v1.1: PR.AC-2_x000a_CSF v1.1: PR.PT-4_x000a_SP 800-218: PO.5.2_x000a_SP 800-53 Rev 5.1.1: PE-02_x000a_SP 800-53 Rev 5.1.1: PE-03_x000a_SP 800-53 Rev 5.1.1: PE-04_x000a_SP 800-53 Rev 5.1.1: PE-05_x000a_SP 800-53 Rev 5.1.1: PE-06_x000a_SP 800-53 Rev 5.1.1: PE-08_x000a_SP 800-53 Rev 5.1.1: PE-18_x000a_SP 800-53 Rev 5.1.1: PE-19_x000a_SP 800-53 Rev 5.1.1: PE-20"/>
    <s v="Level 3: Managed"/>
    <n v="3"/>
    <m/>
    <s v="Level 4: Quantitatively Managed"/>
    <n v="4"/>
    <m/>
  </r>
  <r>
    <x v="2"/>
    <x v="10"/>
    <s v="PR.AT-01"/>
    <s v="Personnel are provided with awareness and training so that they possess the knowledge and skills to perform general tasks with cybersecurity risks in mind"/>
    <s v="Ex1: Provide basic cybersecurity awareness and training to employees, contractors, partners, suppliers, and all other users of the organization's non-public resources_x000a_Ex2: Train personnel to recognize social engineering attempts and other common attacks, report attacks and suspicious activity, comply with acceptable use policies, and perform basic cyber hygiene tasks (e.g., patching software, choosing passwords, protecting credentials)_x000a_Ex3: Explain the consequences of cybersecurity policy violations, both to individual users and the organization as a whole_x000a_Ex4: Periodically assess or test users on their understanding of basic cybersecurity practices_x000a_Ex5: Require annual refreshers to reinforce existing practices and introduce new practices"/>
    <s v="CCMv4.0: DCS-11_x000a_CCMv4.0: HRS-09_x000a_CCMv4.0: HRS-11_x000a_CCMv4.0: HRS-12_x000a_CCMv4.0: HRS-13_x000a_CCMv4.0: SEF-02_x000a_CCMv4.0: SEF-03_x000a_CCMv4.0: UEM-14_x000a_CIS Controls v8.0: 14.1_x000a_CRI Profile v2.0: PR.AT-01_x000a_CRI Profile v2.0: PR.AT-01.01_x000a_CRI Profile v2.0: PR.AT-01.02_x000a_CRI Profile v2.0: PR.AT-01.03_x000a_CRI Profile v2.0: PR.AT-01.04_x000a_CSF v1.1: PR.AT-1_x000a_CSF v1.1: PR.AT-3_x000a_CSF v1.1: RS.CO-1_x000a_SP 800-218: PO.2.2_x000a_SP 800-221A: GV.CT-3_x000a_SP 800-221A: GV.RR-2_x000a_SP 800-53 Rev 5.1.1: AT-02_x000a_SP 800-53 Rev 5.1.1: AT-03"/>
    <s v="Level 3: Managed"/>
    <n v="3"/>
    <m/>
    <s v="Level 4: Quantitatively Managed"/>
    <n v="4"/>
    <m/>
  </r>
  <r>
    <x v="2"/>
    <x v="10"/>
    <s v="PR.AT-02"/>
    <s v="Individuals in specialized roles are provided with awareness and training so that they possess the knowledge and skills to perform relevant tasks with cybersecurity risks in mind"/>
    <s v="Ex1: Identify the specialized roles within the organization that require additional cybersecurity training, such as physical and cybersecurity personnel, finance personnel, senior leadership, and anyone with access to business-critical data_x000a_Ex2: Provide role-based cybersecurity awareness and training to all those in specialized roles, including contractors, partners, suppliers, and other third parties_x000a_Ex3: Periodically assess or test users on their understanding of cybersecurity practices for their specialized roles_x000a_Ex4: Require annual refreshers to reinforce existing practices and introduce new practices"/>
    <s v="CCMv4.0: DCS-11_x000a_CCMv4.0: HRS-09_x000a_CCMv4.0: HRS-12_x000a_CCMv4.0: HRS-13_x000a_CCMv4.0: SEF-03_x000a_CCMv4.0: UEM-14_x000a_CIS Controls v8.0: 14.9_x000a_CRI Profile v2.0: PR.AT-02_x000a_CRI Profile v2.0: PR.AT-02.01_x000a_CRI Profile v2.0: PR.AT-02.02_x000a_CRI Profile v2.0: PR.AT-02.03_x000a_CRI Profile v2.0: PR.AT-02.04_x000a_CRI Profile v2.0: PR.AT-02.05_x000a_CRI Profile v2.0: PR.AT-02.06_x000a_CRI Profile v2.0: PR.AT-02.07_x000a_CRI Profile v2.0: PR.AT-02.08_x000a_CSF v1.1: PR.AT-2_x000a_CSF v1.1: PR.AT-3_x000a_CSF v1.1: PR.AT-4_x000a_CSF v1.1: PR.AT-5_x000a_SP 800-218: PO.2.2_x000a_SP 800-221A: GV.CT-3_x000a_SP 800-221A: GV.CT-4_x000a_SP 800-221A: GV.RR-2_x000a_SP 800-53 Rev 5.1.1: AT-03"/>
    <s v="Level 3: Managed"/>
    <n v="3"/>
    <m/>
    <s v="Level 4: Quantitatively Managed"/>
    <n v="4"/>
    <m/>
  </r>
  <r>
    <x v="2"/>
    <x v="11"/>
    <s v="PR.DS-01"/>
    <s v="The confidentiality, integrity, and availability of data-at-rest are protected"/>
    <s v="Ex1: Use encryption, digital signatures, and cryptographic hashes to protect the confidentiality and integrity of stored data in files, databases, virtual machine disk images, container images, and other resources_x000a_Ex2: Use full disk encryption to protect data stored on user endpoints_x000a_Ex3: Confirm the integrity of software by validating signatures_x000a_Ex4: Restrict the use of removable media to prevent data exfiltration_x000a_Ex5: Physically secure removable media containing unencrypted sensitive information, such as within locked offices or file cabinets"/>
    <s v="CCMv4.0: BCR-08_x000a_CCMv4.0: CEK-03_x000a_CCMv4.0: CEK-04_x000a_CCMv4.0: CEK-18_x000a_CCMv4.0: CEK-19_x000a_CCMv4.0: DCS-04_x000a_CCMv4.0: DSP-17_x000a_CCMv4.0: HRS-04_x000a_CCMv4.0: LOG-02_x000a_CCMv4.0: LOG-09_x000a_CCMv4.0: UEM-05_x000a_CCMv4.0: UEM-08_x000a_CIS Controls v8.0: 3.11_x000a_CRI Profile v2.0: PR.DS-01_x000a_CRI Profile v2.0: PR.DS-01.01_x000a_CRI Profile v2.0: PR.DS-01.02_x000a_CRI Profile v2.0: PR.DS-01.03_x000a_CSF v1.1: PR.DS-1_x000a_CSF v1.1: PR.DS-5_x000a_CSF v1.1: PR.DS-6_x000a_CSF v1.1: PR.PT-2_x000a_SP 800-218: PS.1.1_x000a_SP 800-218: PS.2.1_x000a_SP 800-218: PS.3.1_x000a_SP 800-53 Rev 5.1.1: CA-03_x000a_SP 800-53 Rev 5.1.1: CP-09_x000a_SP 800-53 Rev 5.1.1: MP-08_x000a_SP 800-53 Rev 5.1.1: SC-04_x000a_SP 800-53 Rev 5.1.1: SC-07_x000a_SP 800-53 Rev 5.1.1: SC-12_x000a_SP 800-53 Rev 5.1.1: SC-13_x000a_SP 800-53 Rev 5.1.1: SC-28_x000a_SP 800-53 Rev 5.1.1: SC-32_x000a_SP 800-53 Rev 5.1.1: SC-39_x000a_SP 800-53 Rev 5.1.1: SC-43_x000a_SP 800-53 Rev 5.1.1: SI-03_x000a_SP 800-53 Rev 5.1.1: SI-04_x000a_SP 800-53 Rev 5.1.1: SI-07"/>
    <s v="Level 3: Managed"/>
    <n v="3"/>
    <m/>
    <s v="Level 4: Quantitatively Managed"/>
    <n v="4"/>
    <m/>
  </r>
  <r>
    <x v="2"/>
    <x v="11"/>
    <s v="PR.DS-02"/>
    <s v="The confidentiality, integrity, and availability of data-in-transit are protected"/>
    <s v="Ex1: Use encryption, digital signatures, and cryptographic hashes to protect the confidentiality and integrity of network communications_x000a_Ex2: Automatically encrypt or block outbound emails and other communications that contain sensitive data, depending on the data classification_x000a_Ex3: Block access to personal email, file sharing, file storage services, and other personal communications applications and services from organizational systems and networks_x000a_Ex4: Prevent reuse of sensitive data from production environments (e.g., customer records) in development, testing, and other non-production environments"/>
    <s v="CCMv4.0: CEK-03_x000a_CCMv4.0: CEK-04_x000a_CCMv4.0: CEK-19_x000a_CCMv4.0: DCS-02_x000a_CCMv4.0: DSP-10_x000a_CCMv4.0: DSP-17_x000a_CCMv4.0: HRS-04_x000a_CCMv4.0: IPY-03_x000a_CCMv4.0: IVS-03_x000a_CCMv4.0: IVS-07_x000a_CCMv4.0: LOG-02_x000a_CCMv4.0: LOG-09_x000a_CCMv4.0: UEM-05_x000a_CCMv4.0: UEM-11_x000a_CIS Controls v8.0: 3.10_x000a_CRI Profile v2.0: PR.DS-02_x000a_CRI Profile v2.0: PR.DS-02.01_x000a_CSF v1.1: PR.DS-2_x000a_CSF v1.1: PR.DS-5_x000a_SP 800-53 Rev 5.1.1: AU-16_x000a_SP 800-53 Rev 5.1.1: CA-03_x000a_SP 800-53 Rev 5.1.1: SC-04_x000a_SP 800-53 Rev 5.1.1: SC-07_x000a_SP 800-53 Rev 5.1.1: SC-08_x000a_SP 800-53 Rev 5.1.1: SC-11_x000a_SP 800-53 Rev 5.1.1: SC-12_x000a_SP 800-53 Rev 5.1.1: SC-13_x000a_SP 800-53 Rev 5.1.1: SC-16_x000a_SP 800-53 Rev 5.1.1: SC-40_x000a_SP 800-53 Rev 5.1.1: SC-43_x000a_SP 800-53 Rev 5.1.1: SI-03_x000a_SP 800-53 Rev 5.1.1: SI-04_x000a_SP 800-53 Rev 5.1.1: SI-07"/>
    <s v="Level 3: Managed"/>
    <n v="3"/>
    <m/>
    <s v="Level 4: Quantitatively Managed"/>
    <n v="4"/>
    <m/>
  </r>
  <r>
    <x v="2"/>
    <x v="11"/>
    <s v="PR.DS-10"/>
    <s v="The confidentiality, integrity, and availability of data-in-use are protected"/>
    <s v="Ex1: Remove data that must remain confidential (e.g., from processors and memory) as soon as it is no longer needed_x000a_Ex2: Protect data in use from access by other users and processes of the same platform"/>
    <s v="CCMv4.0: DSP-17_x000a_CCMv4.0: HRS-04_x000a_CCMv4.0: UEM-11_x000a_CRI Profile v2.0: PR.DS-10_x000a_CRI Profile v2.0: PR.DS-10.01_x000a_CSF v1.1: PR.DS-5_x000a_SP 800-53 Rev 5.1.1: AC-02_x000a_SP 800-53 Rev 5.1.1: AC-03_x000a_SP 800-53 Rev 5.1.1: AC-04_x000a_SP 800-53 Rev 5.1.1: AU-09_x000a_SP 800-53 Rev 5.1.1: AU-13_x000a_SP 800-53 Rev 5.1.1: CA-03_x000a_SP 800-53 Rev 5.1.1: CP-09_x000a_SP 800-53 Rev 5.1.1: SA-08_x000a_SP 800-53 Rev 5.1.1: SC-04_x000a_SP 800-53 Rev 5.1.1: SC-07_x000a_SP 800-53 Rev 5.1.1: SC-11_x000a_SP 800-53 Rev 5.1.1: SC-13_x000a_SP 800-53 Rev 5.1.1: SC-24_x000a_SP 800-53 Rev 5.1.1: SC-32_x000a_SP 800-53 Rev 5.1.1: SC-39_x000a_SP 800-53 Rev 5.1.1: SC-40_x000a_SP 800-53 Rev 5.1.1: SC-43_x000a_SP 800-53 Rev 5.1.1: SI-03_x000a_SP 800-53 Rev 5.1.1: SI-04_x000a_SP 800-53 Rev 5.1.1: SI-07_x000a_SP 800-53 Rev 5.1.1: SI-10_x000a_SP 800-53 Rev 5.1.1: SI-16"/>
    <s v="Level 3: Managed"/>
    <n v="3"/>
    <m/>
    <s v="Level 4: Quantitatively Managed"/>
    <n v="4"/>
    <m/>
  </r>
  <r>
    <x v="2"/>
    <x v="11"/>
    <s v="PR.DS-11"/>
    <s v="Backups of data are created, protected, maintained, and tested"/>
    <s v="Ex1: Continuously back up critical data in near-real-time, and back up other data frequently at agreed-upon schedules_x000a_Ex2: Test backups and restores for all types of data sources at least annually_x000a_Ex3: Securely store some backups offline and offsite so that an incident or disaster will not damage them_x000a_Ex4: Enforce geographic separation and geolocation restrictions for data backup storage"/>
    <s v="CCMv4.0: BCR-08_x000a_CCMv4.0: CEK-18_x000a_CCMv4.0: DSP-16_x000a_CCMv4.0: DSP-19_x000a_CCMv4.0: LOG-02_x000a_CCMv4.0: LOG-09_x000a_CIS Controls v8.0: 11.2_x000a_CIS Controls v8.0: 11.3_x000a_CIS Controls v8.0: 11.5_x000a_CRI Profile v2.0: PR.DS-11_x000a_CRI Profile v2.0: PR.DS-11.01_x000a_CSF v1.1: PR.IP-4_x000a_SP 800-218: PS.3.1_x000a_SP 800-53 Rev 5.1.1: CP-06_x000a_SP 800-53 Rev 5.1.1: CP-09"/>
    <s v="Level 3: Managed"/>
    <n v="3"/>
    <m/>
    <s v="Level 4: Quantitatively Managed"/>
    <n v="4"/>
    <m/>
  </r>
  <r>
    <x v="2"/>
    <x v="12"/>
    <s v="PR.PS-01"/>
    <s v="Configuration management practices are established and applied"/>
    <s v="Ex1: Establish, test, deploy, and maintain hardened baselines that enforce the organization's cybersecurity policies and provide only essential capabilities (i.e., principle of least functionality)_x000a_Ex2: Review all default configuration settings that may potentially impact cybersecurity when installing or upgrading software_x000a_Ex3: Monitor implemented software for deviations from approved baselines"/>
    <s v="CCMv4.0: AIS-02_x000a_CCMv4.0: AIS-04_x000a_CCMv4.0: AIS-05_x000a_CCMv4.0: AIS-06_x000a_CCMv4.0: CCC-01_x000a_CCMv4.0: CCC-02_x000a_CCMv4.0: CCC-06_x000a_CCMv4.0: CCC-07_x000a_CCMv4.0: IVS-04_x000a_CCMv4.0: IVS-06_x000a_CCMv4.0: UEM-05_x000a_CCMv4.0: UEM-06_x000a_CCMv4.0: UEM-07_x000a_CCMv4.0: UEM-09_x000a_CCMv4.0: UEM-10_x000a_CCMv4.0: UEM-11_x000a_CCMv4.0: UEM-12_x000a_CCMv4.0: UEM-13_x000a_CIS Controls v8.0: 4.1_x000a_CIS Controls v8.0: 4.2_x000a_CRI Profile v2.0: PR.PS-01_x000a_CRI Profile v2.0: PR.PS-01.01_x000a_CRI Profile v2.0: PR.PS-01.02_x000a_CRI Profile v2.0: PR.PS-01.03_x000a_CRI Profile v2.0: PR.PS-01.04_x000a_CRI Profile v2.0: PR.PS-01.05_x000a_CRI Profile v2.0: PR.PS-01.06_x000a_CRI Profile v2.0: PR.PS-01.07_x000a_CRI Profile v2.0: PR.PS-01.08_x000a_CRI Profile v2.0: PR.PS-01.09_x000a_CSF v1.1: PR.IP-1_x000a_CSF v1.1: PR.IP-3_x000a_CSF v1.1: PR.PT-2_x000a_CSF v1.1: PR.PT-3_x000a_SP 800-218: PO.5.2_x000a_SP 800-218: PS.1.1_x000a_SP 800-53 Rev 5.1.1: CM-01_x000a_SP 800-53 Rev 5.1.1: CM-02_x000a_SP 800-53 Rev 5.1.1: CM-03_x000a_SP 800-53 Rev 5.1.1: CM-04_x000a_SP 800-53 Rev 5.1.1: CM-05_x000a_SP 800-53 Rev 5.1.1: CM-06_x000a_SP 800-53 Rev 5.1.1: CM-07_x000a_SP 800-53 Rev 5.1.1: CM-08_x000a_SP 800-53 Rev 5.1.1: CM-09_x000a_SP 800-53 Rev 5.1.1: CM-10_x000a_SP 800-53 Rev 5.1.1: CM-11"/>
    <s v="Level 3: Managed"/>
    <n v="3"/>
    <m/>
    <s v="Level 4: Quantitatively Managed"/>
    <n v="4"/>
    <m/>
  </r>
  <r>
    <x v="2"/>
    <x v="12"/>
    <s v="PR.PS-02"/>
    <s v="Software is maintained, replaced, and removed commensurate with risk"/>
    <s v="Ex1: Perform routine and emergency patching within the timeframes specified in the vulnerability management plan_x000a_Ex2: Update container images, and deploy new container instances to replace rather than update existing instances_x000a_Ex3: Replace end-of-life software and service versions with supported, maintained versions_x000a_Ex4: Uninstall and remove unauthorized software and services that pose undue risks_x000a_Ex5: Uninstall and remove any unnecessary software components (e.g., operating system utilities) that attackers might misuse_x000a_Ex6: Define and implement plans for software and service end-of-life maintenance support and obsolescence"/>
    <s v="CCMv4.0: AIS-04_x000a_CCMv4.0: AIS-05_x000a_CCMv4.0: AIS-07_x000a_CCMv4.0: CCC-04_x000a_CCMv4.0: CCC-09_x000a_CCMv4.0: DSP-02_x000a_CCMv4.0: TVM-03_x000a_CCMv4.0: TVM-04_x000a_CCMv4.0: TVM-05_x000a_CCMv4.0: TVM-08_x000a_CCMv4.0: UEM-02_x000a_CCMv4.0: UEM-03_x000a_CCMv4.0: UEM-07_x000a_CIS Controls v8.0: 2.2_x000a_CIS Controls v8.0: 2.3_x000a_CRI Profile v2.0: PR.PS-02_x000a_CRI Profile v2.0: PR.PS-02.01_x000a_CRI Profile v2.0: PR.PS-02.02_x000a_CRI Profile v2.0: PR.PS-02.03_x000a_CSF v1.1: PR.IP-12_x000a_CSF v1.1: PR.MA-2_x000a_SP 800-218: PO.5.2_x000a_SP 800-53 Rev 5.1.1: CM-11_x000a_SP 800-53 Rev 5.1.1: MA-03(06)_x000a_SP 800-53 Rev 5.1.1: SA-10(01)_x000a_SP 800-53 Rev 5.1.1: SI-02_x000a_SP 800-53 Rev 5.1.1: SI-07"/>
    <s v="Level 3: Managed"/>
    <n v="3"/>
    <m/>
    <s v="Level 4: Quantitatively Managed"/>
    <n v="4"/>
    <m/>
  </r>
  <r>
    <x v="2"/>
    <x v="12"/>
    <s v="PR.PS-03"/>
    <s v="Hardware is maintained, replaced, and removed commensurate with risk"/>
    <s v="Ex1: Replace hardware when it lacks needed security capabilities or when it cannot support software with needed security capabilities_x000a_Ex2: Define and implement plans for hardware end-of-life maintenance support and obsolescence_x000a_Ex3: Perform hardware disposal in a secure, responsible, and auditable manner"/>
    <s v="CCMv4.0: CCC-04_x000a_CCMv4.0: DCS-01_x000a_CCMv4.0: DSP-02_x000a_CCMv4.0: TVM-03_x000a_CCMv4.0: TVM-08_x000a_CIS Controls v8.0: 1.2_x000a_CRI Profile v2.0: PR.PS-03_x000a_CRI Profile v2.0: PR.PS-03.01_x000a_CSF v1.1: PR.MA-1_x000a_CSF v1.1: PR.DS-3_x000a_SP 800-218: PO.5.2_x000a_SP 800-53 Rev 5.1.1: CM-07(09)_x000a_SP 800-53 Rev 5.1.1: SA-10(03)_x000a_SP 800-53 Rev 5.1.1: SC-03(01)_x000a_SP 800-53 Rev 5.1.1: SC-39(01)_x000a_SP 800-53 Rev 5.1.1: SC-49_x000a_SP 800-53 Rev 5.1.1: SC-51"/>
    <s v="Level 3: Managed"/>
    <n v="3"/>
    <m/>
    <s v="Level 4: Quantitatively Managed"/>
    <n v="4"/>
    <m/>
  </r>
  <r>
    <x v="2"/>
    <x v="12"/>
    <s v="PR.PS-04"/>
    <s v="Log records are generated and made available for continuous monitoring"/>
    <s v="Ex1: Configure all operating systems, applications, and services (including cloud-based services) to generate log records_x000a_Ex2: Configure log generators to securely share their logs with the organization's logging infrastructure systems and services_x000a_Ex3: Configure log generators to record the data needed by zero-trust architectures"/>
    <s v="CCMv4.0: IAM-16_x000a_CCMv4.0: LOG-01_x000a_CCMv4.0: LOG-02_x000a_CCMv4.0: LOG-03_x000a_CCMv4.0: LOG-04_x000a_CCMv4.0: LOG-05_x000a_CCMv4.0: LOG-07_x000a_CCMv4.0: LOG-08_x000a_CCMv4.0: LOG-10_x000a_CCMv4.0: LOG-11_x000a_CCMv4.0: LOG-12_x000a_CCMv4.0: LOG-13_x000a_CIS Controls v8.0: 8.2_x000a_CRI Profile v2.0: PR.PS-04_x000a_CRI Profile v2.0: PR.PS-04.01_x000a_CRI Profile v2.0: PR.PS-04.02_x000a_CRI Profile v2.0: PR.PS-04.03_x000a_CSF v1.1: PR.PT-1_x000a_SP 800-218: PO.3.3_x000a_SP 800-53 Rev 5.1.1: AU-02_x000a_SP 800-53 Rev 5.1.1: AU-03_x000a_SP 800-53 Rev 5.1.1: AU-06_x000a_SP 800-53 Rev 5.1.1: AU-07_x000a_SP 800-53 Rev 5.1.1: AU-11_x000a_SP 800-53 Rev 5.1.1: AU-12"/>
    <s v="Level 3: Managed"/>
    <n v="3"/>
    <m/>
    <s v="Level 4: Quantitatively Managed"/>
    <n v="4"/>
    <m/>
  </r>
  <r>
    <x v="2"/>
    <x v="12"/>
    <s v="PR.PS-05"/>
    <s v="Installation and execution of unauthorized software are prevented"/>
    <s v="Ex1: When risk warrants it, restrict software execution to permitted products only or deny the execution of prohibited and unauthorized software_x000a_Ex2: Verify the source of new software and the software's integrity before installing it_x000a_Ex3: Configure platforms to use only approved DNS services that block access to known malicious domains_x000a_Ex4: Configure platforms to allow the installation of organization-approved software only"/>
    <s v="CCMv4.0: CCC-04_x000a_CCMv4.0: UEM-02_x000a_CCMv4.0: UEM-09_x000a_CIS Controls v8.0: 2.5_x000a_CRI Profile v2.0: PR.PS-05_x000a_CRI Profile v2.0: PR.PS-05.01_x000a_CRI Profile v2.0: PR.PS-05.02_x000a_CRI Profile v2.0: PR.PS-05.03_x000a_SP 800-53 Rev 5.1.1: CM-07(02)_x000a_SP 800-53 Rev 5.1.1: CM-07(04)_x000a_SP 800-53 Rev 5.1.1: CM-07(05)_x000a_SP 800-53 Rev 5.1.1: SC-34"/>
    <s v="Level 3: Managed"/>
    <n v="3"/>
    <m/>
    <s v="Level 4: Quantitatively Managed"/>
    <n v="4"/>
    <m/>
  </r>
  <r>
    <x v="2"/>
    <x v="12"/>
    <s v="PR.PS-06"/>
    <s v="Secure software development practices are integrated, and their performance is monitored throughout the software development life cycle"/>
    <s v="Ex1: Protect all components of organization-developed software from tampering and unauthorized access_x000a_Ex2: Secure all software produced by the organization, with minimal vulnerabilities in their releases_x000a_Ex3: Maintain the software used in production environments, and securely dispose of software once it is no longer needed"/>
    <s v="CCMv4.0: AIS-04_x000a_CCMv4.0: AIS-06_x000a_CCMv4.0: AIS-07_x000a_CCMv4.0: DSP-07_x000a_CCMv4.0: IVS-06_x000a_CIS Controls v8.0: 16.1_x000a_CRI Profile v2.0: PR.PS-06_x000a_CRI Profile v2.0: PR.PS-06.01_x000a_CRI Profile v2.0: PR.PS-06.02_x000a_CRI Profile v2.0: PR.PS-06.03_x000a_CRI Profile v2.0: PR.PS-06.04_x000a_CRI Profile v2.0: PR.PS-06.05_x000a_CRI Profile v2.0: PR.PS-06.06_x000a_CRI Profile v2.0: PR.PS-06.07_x000a_CRI Profile v2.0: PR.PS-06.08_x000a_CRI Profile v2.0: PR.PS-06.09_x000a_CRI Profile v2.0: PR.PS-06.10_x000a_CSF v1.1: PR.IP-2_x000a_SP 800-53 Rev 5.1.1: SA-03_x000a_SP 800-53 Rev 5.1.1: SA-08_x000a_SP 800-53 Rev 5.1.1: SA-10_x000a_SP 800-53 Rev 5.1.1: SA-11_x000a_SP 800-53 Rev 5.1.1: SA-15_x000a_SP 800-53 Rev 5.1.1: SA-17"/>
    <s v="Level 3: Managed"/>
    <n v="3"/>
    <m/>
    <s v="Level 4: Quantitatively Managed"/>
    <n v="4"/>
    <m/>
  </r>
  <r>
    <x v="2"/>
    <x v="13"/>
    <s v="PR.IR-01"/>
    <s v="Networks and environments are protected from unauthorized logical access and usage"/>
    <s v="Ex1: Logically segment organization networks and cloud-based platforms according to trust boundaries and platform types (e.g., IT, IoT, OT, mobile, guests), and permit required communications only between segments_x000a_Ex2: Logically segment organization networks from external networks, and permit only necessary communications to enter the organization's networks from the external networks_x000a_Ex3: Implement zero trust architectures to restrict network access to each resource to the minimum necessary_x000a_Ex4: Check the cyber health of endpoints before allowing them to access and use production resources"/>
    <s v="CCMv4.0: AIS-04_x000a_CCMv4.0: AIS-06_x000a_CCMv4.0: DCS-12_x000a_CCMv4.0: DSP-10_x000a_CCMv4.0: DSP-15_x000a_CCMv4.0: IVS-03_x000a_CCMv4.0: IVS-05_x000a_CCMv4.0: IVS-06_x000a_CCMv4.0: IVS-09_x000a_CCMv4.0: UEM-05_x000a_CCMv4.0: UEM-14_x000a_CIS Controls v8.0: 3.12_x000a_CIS Controls v8.0: 12.2_x000a_CRI Profile v2.0: PR.IR-01_x000a_CRI Profile v2.0: PR.IR-01.01_x000a_CRI Profile v2.0: PR.IR-01.02_x000a_CRI Profile v2.0: PR.IR-01.03_x000a_CRI Profile v2.0: PR.IR-01.04_x000a_CRI Profile v2.0: PR.IR-01.05_x000a_CRI Profile v2.0: PR.IR-01.06_x000a_CRI Profile v2.0: PR.IR-01.07_x000a_CRI Profile v2.0: PR.IR-01.08_x000a_CSF v1.1: PR.AC-3_x000a_CSF v1.1: PR.AC-5_x000a_CSF v1.1: PR.DS-7_x000a_CSF v1.1: PR.PT-4_x000a_SP 800-218: PO.5.1_x000a_SP 800-53 Rev 5.1.1: AC-03_x000a_SP 800-53 Rev 5.1.1: AC-04_x000a_SP 800-53 Rev 5.1.1: SC-04_x000a_SP 800-53 Rev 5.1.1: SC-05_x000a_SP 800-53 Rev 5.1.1: SC-07"/>
    <s v="Level 3: Managed"/>
    <n v="3"/>
    <m/>
    <s v="Level 4: Quantitatively Managed"/>
    <n v="4"/>
    <m/>
  </r>
  <r>
    <x v="2"/>
    <x v="13"/>
    <s v="PR.IR-02"/>
    <s v="The organization's technology assets are protected from environmental threats"/>
    <s v="Ex1: Protect organizational equipment from known environmental threats, such as flooding, fire, wind, and excessive heat and humidity_x000a_Ex2: Include protection from environmental threats and provisions for adequate operating infrastructure in requirements for service providers that operate systems on the organization's behalf"/>
    <s v="CCMv4.0: DCS-03_x000a_CCMv4.0: DCS-13_x000a_CCMv4.0: DCS-14_x000a_CCMv4.0: DCS-15_x000a_CRI Profile v2.0: PR.IR-02_x000a_CRI Profile v2.0: PR.IR-02.01_x000a_CSF v1.1: PR.IP-5_x000a_SP 800-53 Rev 5.1.1: CP-02_x000a_SP 800-53 Rev 5.1.1: PE-09_x000a_SP 800-53 Rev 5.1.1: PE-10_x000a_SP 800-53 Rev 5.1.1: PE-11_x000a_SP 800-53 Rev 5.1.1: PE-12_x000a_SP 800-53 Rev 5.1.1: PE-13_x000a_SP 800-53 Rev 5.1.1: PE-14_x000a_SP 800-53 Rev 5.1.1: PE-15_x000a_SP 800-53 Rev 5.1.1: PE-18_x000a_SP 800-53 Rev 5.1.1: PE-23"/>
    <s v="Level 3: Managed"/>
    <n v="3"/>
    <m/>
    <s v="Level 4: Quantitatively Managed"/>
    <n v="4"/>
    <m/>
  </r>
  <r>
    <x v="2"/>
    <x v="13"/>
    <s v="PR.IR-03"/>
    <s v="Mechanisms are implemented to achieve resilience requirements in normal and adverse situations"/>
    <s v="Ex1: Avoid single points of failure in systems and infrastructure_x000a_Ex2: Use load balancing to increase capacity and improve reliability_x000a_Ex3: Use high-availability components like redundant storage and power supplies to improve system reliability"/>
    <s v="CCMv4.0: BCR-11_x000a_CRI Profile v2.0: PR.IR-03_x000a_CRI Profile v2.0: PR.IR-03.01_x000a_CSF v1.1: PR.PT-5_x000a_SP 800-53 Rev 5.1.1: CP_x000a_SP 800-53 Rev 5.1.1: IR_x000a_SP 800-53 Rev 5.1.1: SA-08_x000a_SP 800-53 Rev 5.1.1: SC-06_x000a_SP 800-53 Rev 5.1.1: SC-24_x000a_SP 800-53 Rev 5.1.1: SC-36_x000a_SP 800-53 Rev 5.1.1: SC-39_x000a_SP 800-53 Rev 5.1.1: SI-13"/>
    <s v="Level 3: Managed"/>
    <n v="3"/>
    <m/>
    <s v="Level 4: Quantitatively Managed"/>
    <n v="4"/>
    <m/>
  </r>
  <r>
    <x v="2"/>
    <x v="13"/>
    <s v="PR.IR-04"/>
    <s v="Adequate resource capacity to ensure availability is maintained"/>
    <s v="Ex1: Monitor usage of storage, power, compute, network bandwidth, and other resources_x000a_Ex2: Forecast future needs, and scale resources accordingly"/>
    <s v="CCMv4.0: IVS-02_x000a_CRI Profile v2.0: PR.IR-04_x000a_CRI Profile v2.0: PR.IR-04.01_x000a_CRI Profile v2.0: PR.IR-04.02_x000a_CSF v1.1: PR.DS-4_x000a_SP 800-53 Rev 5.1.1: CP-06_x000a_SP 800-53 Rev 5.1.1: CP-07_x000a_SP 800-53 Rev 5.1.1: CP-08_x000a_SP 800-53 Rev 5.1.1: PM-03_x000a_SP 800-53 Rev 5.1.1: PM-09"/>
    <s v="Level 3: Managed"/>
    <n v="3"/>
    <m/>
    <s v="Level 4: Quantitatively Managed"/>
    <n v="4"/>
    <m/>
  </r>
  <r>
    <x v="3"/>
    <x v="14"/>
    <s v="DE.CM-01"/>
    <s v="Networks and network services are monitored to find potentially adverse events"/>
    <s v="Ex1: Monitor DNS, BGP, and other network services for adverse events_x000a_Ex2: Monitor wired and wireless networks for connections from unauthorized endpoints_x000a_Ex3: Monitor facilities for unauthorized or rogue wireless networks_x000a_Ex4: Compare actual network flows against baselines to detect deviations_x000a_Ex5: Monitor network communications to identify changes in security postures for zero trust purposes"/>
    <s v="CCMv4.0: IVS-03_x000a_CCMv4.0: IVS-09_x000a_CCMv4.0: LOG-01_x000a_CCMv4.0: LOG-03_x000a_CCMv4.0: LOG-05_x000a_CCMv4.0: LOG-08_x000a_CCMv4.0: TVM-02_x000a_CCMv4.0: TVM-10_x000a_CCMv4.0: UEM-10_x000a_CIS Controls v8.0: 13.1_x000a_CRI Profile v2.0: DE.CM-01_x000a_CRI Profile v2.0: DE.CM-01.01_x000a_CRI Profile v2.0: DE.CM-01.02_x000a_CRI Profile v2.0: DE.CM-01.03_x000a_CRI Profile v2.0: DE.CM-01.04_x000a_CRI Profile v2.0: DE.CM-01.05_x000a_CRI Profile v2.0: DE.CM-01.06_x000a_CSF v1.1: DE.CM-1_x000a_CSF v1.1: DE.CM-4_x000a_CSF v1.1: DE.CM-5_x000a_CSF v1.1: DE.CM-7_x000a_SP 800-53 Rev 5.1.1: AC-02_x000a_SP 800-53 Rev 5.1.1: AU-12_x000a_SP 800-53 Rev 5.1.1: CA-07_x000a_SP 800-53 Rev 5.1.1: CM-03_x000a_SP 800-53 Rev 5.1.1: SC-05_x000a_SP 800-53 Rev 5.1.1: SC-07_x000a_SP 800-53 Rev 5.1.1: SI-04"/>
    <s v="Level 3: Managed"/>
    <n v="3"/>
    <m/>
    <s v="Level 4: Quantitatively Managed"/>
    <n v="4"/>
    <m/>
  </r>
  <r>
    <x v="3"/>
    <x v="14"/>
    <s v="DE.CM-02"/>
    <s v="The physical environment is monitored to find potentially adverse events"/>
    <s v="Ex1: Monitor logs from physical access control systems (e.g., badge readers) to find unusual access patterns (e.g., deviations from the norm) and failed access attempts_x000a_Ex2: Review and monitor physical access records (e.g., from visitor registration, sign-in sheets)_x000a_Ex3: Monitor physical access controls (e.g., locks, latches, hinge pins, alarms) for signs of tampering_x000a_Ex4: Monitor the physical environment using alarm systems, cameras, and security guards"/>
    <s v="CCMv4.0: DCS-09_x000a_CCMv4.0: DCS-10_x000a_CCMv4.0: DCS-14_x000a_CCMv4.0: LOG-01_x000a_CCMv4.0: LOG-03_x000a_CCMv4.0: LOG-05_x000a_CCMv4.0: LOG-08_x000a_CCMv4.0: LOG-12_x000a_CCMv4.0: TVM-10_x000a_CRI Profile v2.0: DE.CM-02_x000a_CRI Profile v2.0: DE.CM-02.01_x000a_CSF v1.1: DE.CM-2_x000a_SP 800-53 Rev 5.1.1: CA-07_x000a_SP 800-53 Rev 5.1.1: PE-03_x000a_SP 800-53 Rev 5.1.1: PE-06_x000a_SP 800-53 Rev 5.1.1: PE-20"/>
    <s v="Level 3: Managed"/>
    <n v="3"/>
    <m/>
    <s v="Level 4: Quantitatively Managed"/>
    <n v="4"/>
    <m/>
  </r>
  <r>
    <x v="3"/>
    <x v="14"/>
    <s v="DE.CM-03"/>
    <s v="Personnel activity and technology usage are monitored to find potentially adverse events"/>
    <s v="Ex1: Use behavior analytics software to detect anomalous user activity to mitigate insider threats_x000a_Ex2: Monitor logs from logical access control systems to find unusual access patterns and failed access attempts_x000a_Ex3: Continuously monitor deception technology, including user accounts, for any usage"/>
    <s v="CCMv4.0: LOG-01_x000a_CCMv4.0: LOG-03_x000a_CCMv4.0: LOG-05_x000a_CCMv4.0: LOG-08_x000a_CCMv4.0: TVM-10_x000a_CIS Controls v8.0: 10.7_x000a_CRI Profile v2.0: DE.CM-03_x000a_CRI Profile v2.0: DE.CM-03.01_x000a_CRI Profile v2.0: DE.CM-03.02_x000a_CRI Profile v2.0: DE.CM-03.03_x000a_CSF v1.1: DE.CM-3_x000a_CSF v1.1: DE.CM-7_x000a_SP 800-53 Rev 5.1.1: AC-02_x000a_SP 800-53 Rev 5.1.1: AU-12_x000a_SP 800-53 Rev 5.1.1: AU-13_x000a_SP 800-53 Rev 5.1.1: CA-07_x000a_SP 800-53 Rev 5.1.1: CM-10_x000a_SP 800-53 Rev 5.1.1: CM-11"/>
    <s v="Level 3: Managed"/>
    <n v="3"/>
    <m/>
    <s v="Level 4: Quantitatively Managed"/>
    <n v="4"/>
    <m/>
  </r>
  <r>
    <x v="3"/>
    <x v="14"/>
    <s v="DE.CM-06"/>
    <s v="External service provider activities and services are monitored to find potentially adverse events"/>
    <s v="Ex1: Monitor remote and onsite administration and maintenance activities that external providers perform on organizational systems_x000a_Ex2: Monitor activity from cloud-based services, internet service providers, and other service providers for deviations from expected behavior"/>
    <s v="CCMv4.0: LOG-01_x000a_CCMv4.0: LOG-03_x000a_CCMv4.0: LOG-05_x000a_CCMv4.0: LOG-08_x000a_CCMv4.0: TVM-10_x000a_CIS Controls v8.0: 15.2_x000a_CIS Controls v8.0: 15.6_x000a_CRI Profile v2.0: DE.CM-06_x000a_CRI Profile v2.0: DE.CM-06.01_x000a_CRI Profile v2.0: DE.CM-06.02_x000a_CSF v1.1: DE.CM-6_x000a_CSF v1.1: DE.CM-7_x000a_SP 800-53 Rev 5.1.1: CA-07_x000a_SP 800-53 Rev 5.1.1: PS-07_x000a_SP 800-53 Rev 5.1.1: SA-04_x000a_SP 800-53 Rev 5.1.1: SA-09_x000a_SP 800-53 Rev 5.1.1: SI-04"/>
    <s v="Level 3: Managed"/>
    <n v="3"/>
    <m/>
    <s v="Level 4: Quantitatively Managed"/>
    <n v="4"/>
    <m/>
  </r>
  <r>
    <x v="3"/>
    <x v="14"/>
    <s v="DE.CM-09"/>
    <s v="Computing hardware and software, runtime environments, and their data are monitored to find potentially adverse events"/>
    <s v="Ex1: Monitor email, web, file sharing, collaboration services, and other common attack vectors to detect malware, phishing, data leaks and exfiltration, and other adverse events_x000a_Ex2: Monitor authentication attempts to identify attacks against credentials and unauthorized credential reuse_x000a_Ex3: Monitor software configurations for deviations from security baselines_x000a_Ex4: Monitor hardware and software for signs of tampering_x000a_Ex5: Use technologies with a presence on endpoints to detect cyber health issues (e.g., missing patches, malware infections, unauthorized software), and redirect the endpoints to a remediation environment before access is authorized"/>
    <s v="CCMv4.0: CCC-07_x000a_CCMv4.0: IVS-06_x000a_CCMv4.0: LOG-01_x000a_CCMv4.0: LOG-03_x000a_CCMv4.0: LOG-05_x000a_CCMv4.0: LOG-08_x000a_CCMv4.0: LOG-10_x000a_CCMv4.0: LOG-11_x000a_CCMv4.0: TVM-02_x000a_CCMv4.0: TVM-10_x000a_CCMv4.0: UEM-09_x000a_CCMv4.0: UEM-10_x000a_CCMv4.0: UEM-11_x000a_CIS Controls v8.0: 10.1_x000a_CRI Profile v2.0: DE.CM-09_x000a_CRI Profile v2.0: DE.CM-09.01_x000a_CRI Profile v2.0: DE.CM-09.02_x000a_CRI Profile v2.0: DE.CM-09.03_x000a_CSF v1.1: PR.DS-6_x000a_CSF v1.1: PR.DS-8_x000a_CSF v1.1: DE.CM-4_x000a_CSF v1.1: DE.CM-5_x000a_CSF v1.1: DE.CM-7_x000a_SP 800-53 Rev 5.1.1: AC-04_x000a_SP 800-53 Rev 5.1.1: AC-09_x000a_SP 800-53 Rev 5.1.1: AU-12_x000a_SP 800-53 Rev 5.1.1: CA-07_x000a_SP 800-53 Rev 5.1.1: CM-03_x000a_SP 800-53 Rev 5.1.1: CM-06_x000a_SP 800-53 Rev 5.1.1: CM-10_x000a_SP 800-53 Rev 5.1.1: CM-11_x000a_SP 800-53 Rev 5.1.1: SC-34_x000a_SP 800-53 Rev 5.1.1: SC-35_x000a_SP 800-53 Rev 5.1.1: SI-04_x000a_SP 800-53 Rev 5.1.1: SI-07"/>
    <s v="Level 3: Managed"/>
    <n v="3"/>
    <m/>
    <s v="Level 4: Quantitatively Managed"/>
    <n v="4"/>
    <m/>
  </r>
  <r>
    <x v="3"/>
    <x v="15"/>
    <s v="DE.AE-02"/>
    <s v="Potentially adverse events are analyzed to better understand associated activities"/>
    <s v="Ex1: Use security information and event management (SIEM) or other tools to continuously monitor log events for known malicious and suspicious activity_x000a_Ex2: Utilize up-to-date cyber threat intelligence in log analysis tools to improve detection accuracy and characterize threat actors, their methods, and indicators of compromise_x000a_Ex3: Regularly conduct manual reviews of log events for technologies that cannot be sufficiently monitored through automation_x000a_Ex4: Use log analysis tools to generate reports on their findings"/>
    <s v="CCMv4.0: LOG-03_x000a_CCMv4.0: LOG-05_x000a_CCMv4.0: SEF-05_x000a_CCMv4.0: SEF-06_x000a_CCMv4.0: UEM-09_x000a_CIS Controls v8.0: 8.11_x000a_CRI Profile v2.0: DE.AE-02_x000a_CRI Profile v2.0: DE.AE-02.01_x000a_CRI Profile v2.0: DE.AE-02.02_x000a_CSF v1.1: DE.AE-2_x000a_SP 800-53 Rev 5.1.1: AU-06_x000a_SP 800-53 Rev 5.1.1: CA-07_x000a_SP 800-53 Rev 5.1.1: IR-04_x000a_SP 800-53 Rev 5.1.1: SI-04"/>
    <s v="Level 3: Managed"/>
    <n v="3"/>
    <m/>
    <s v="Level 4: Quantitatively Managed"/>
    <n v="4"/>
    <m/>
  </r>
  <r>
    <x v="3"/>
    <x v="15"/>
    <s v="DE.AE-03"/>
    <s v="Information is correlated from multiple sources"/>
    <s v="Ex1: Constantly transfer log data generated by other sources to a relatively small number of log servers_x000a_Ex2: Use event correlation technology (e.g., SIEM) to collect information captured by multiple sources_x000a_Ex3: Utilize cyber threat intelligence to help correlate events among log sources"/>
    <s v="CCMv4.0: LOG-03_x000a_CCMv4.0: LOG-05_x000a_CCMv4.0: SEF-05_x000a_CRI Profile v2.0: DE.AE-03_x000a_CRI Profile v2.0: DE.AE-03.01_x000a_CRI Profile v2.0: DE.AE-03.02_x000a_CSF v1.1: DE.AE-3_x000a_SP 800-53 Rev 5.1.1: AU-06_x000a_SP 800-53 Rev 5.1.1: CA-07_x000a_SP 800-53 Rev 5.1.1: PM-16_x000a_SP 800-53 Rev 5.1.1: IR-04_x000a_SP 800-53 Rev 5.1.1: IR-05_x000a_SP 800-53 Rev 5.1.1: IR-08_x000a_SP 800-53 Rev 5.1.1: SI-04"/>
    <s v="Level 3: Managed"/>
    <n v="3"/>
    <m/>
    <s v="Level 4: Quantitatively Managed"/>
    <n v="4"/>
    <m/>
  </r>
  <r>
    <x v="3"/>
    <x v="15"/>
    <s v="DE.AE-04"/>
    <s v="The estimated impact and scope of adverse events are understood"/>
    <s v="Ex1: Use SIEMs or other tools to estimate impact and scope, and review and refine the estimates_x000a_Ex2: A person creates their own estimates of impact and scope"/>
    <s v="CCMv4.0: LOG-03_x000a_CCMv4.0: SEF-05_x000a_CCMv4.0: SEF-06_x000a_CRI Profile v2.0: DE.AE-04_x000a_CRI Profile v2.0: DE.AE-04.01_x000a_CSF v1.1: DE.AE-4_x000a_SP 800-53 Rev 5.1.1: PM-09_x000a_SP 800-53 Rev 5.1.1: PM-11_x000a_SP 800-53 Rev 5.1.1: PM-18_x000a_SP 800-53 Rev 5.1.1: PM-28_x000a_SP 800-53 Rev 5.1.1: PM-30"/>
    <s v="Level 3: Managed"/>
    <n v="3"/>
    <m/>
    <s v="Level 4: Quantitatively Managed"/>
    <n v="4"/>
    <m/>
  </r>
  <r>
    <x v="3"/>
    <x v="15"/>
    <s v="DE.AE-06"/>
    <s v="Information on adverse events is provided to authorized staff and tools"/>
    <s v="Ex1: Use cybersecurity software to generate alerts and provide them to the security operations center (SOC), incident responders, and incident response tools_x000a_Ex2: Incident responders and other authorized personnel can access log analysis findings at all times_x000a_Ex3: Automatically create and assign tickets in the organization's ticketing system when certain types of alerts occur_x000a_Ex4: Manually create and assign tickets in the organization's ticketing system when technical staff discover indicators of compromise"/>
    <s v="CCMv4.0: CCC-07_x000a_CCMv4.0: LOG-03_x000a_CCMv4.0: LOG-05_x000a_CCMv4.0: LOG-13_x000a_CCMv4.0: SEF-05_x000a_CCMv4.0: SEF-06_x000a_CRI Profile v2.0: DE.AE-06_x000a_CRI Profile v2.0: DE.AE-06.01_x000a_CSF v1.1: DE.DP-4_x000a_SP 800-53 Rev 5.1.1: IR-04_x000a_SP 800-53 Rev 5.1.1: PM-15_x000a_SP 800-53 Rev 5.1.1: PM-16_x000a_SP 800-53 Rev 5.1.1: RA-03_x000a_SP 800-53 Rev 5.1.1: RA-10"/>
    <s v="Level 3: Managed"/>
    <n v="3"/>
    <m/>
    <s v="Level 4: Quantitatively Managed"/>
    <n v="4"/>
    <m/>
  </r>
  <r>
    <x v="3"/>
    <x v="15"/>
    <s v="DE.AE-07"/>
    <s v="Cyber threat intelligence and other contextual information are integrated into the analysis"/>
    <s v="Ex1: Securely provide cyber threat intelligence feeds to detection technologies, processes, and personnel_x000a_Ex2: Securely provide information from asset inventories to detection technologies, processes, and personnel_x000a_Ex3: Rapidly acquire and analyze vulnerability disclosures for the organization's technologies from suppliers, vendors, and third-party security advisories"/>
    <s v="CCMv4.0: LOG-03_x000a_CCMv4.0: LOG-05_x000a_CCMv4.0: SEF-06_x000a_CRI Profile v2.0: DE.AE-07_x000a_CRI Profile v2.0: DE.AE-07.01_x000a_CRI Profile v2.0: DE.AE-07.02_x000a_CSF v1.1: DE.AE-3_x000a_SP 800-53 Rev 5.1.1: PM-16_x000a_SP 800-53 Rev 5.1.1: RA-03_x000a_SP 800-53 Rev 5.1.1: RA-10"/>
    <s v="Level 3: Managed"/>
    <n v="3"/>
    <m/>
    <s v="Level 4: Quantitatively Managed"/>
    <n v="4"/>
    <m/>
  </r>
  <r>
    <x v="3"/>
    <x v="15"/>
    <s v="DE.AE-08"/>
    <s v="Incidents are declared when adverse events meet the defined incident criteria"/>
    <s v="Ex1: Apply incident criteria to known and assumed characteristics of activity in order to determine whether an incident should be declared_x000a_Ex2: Take known false positives into account when applying incident criteria"/>
    <s v="CCMv4.0: LOG-03_x000a_CCMv4.0: LOG-05_x000a_CCMv4.0: SEF-02_x000a_CCMv4.0: SEF-06_x000a_CCMv4.0: SEF-07_x000a_CRI Profile v2.0: DE.AE-08_x000a_CRI Profile v2.0: DE.AE-08.01_x000a_CSF v1.1: DE.AE-5_x000a_SP 800-53 Rev 5.1.1: IR-04_x000a_SP 800-53 Rev 5.1.1: IR-08"/>
    <s v="Level 3: Managed"/>
    <n v="3"/>
    <m/>
    <s v="Level 4: Quantitatively Managed"/>
    <n v="4"/>
    <m/>
  </r>
  <r>
    <x v="4"/>
    <x v="16"/>
    <s v="RS.MA-01"/>
    <s v="The incident response plan is executed in coordination with relevant third parties once an incident is declared"/>
    <s v="Ex1: Detection technologies automatically report confirmed incidents_x000a_Ex2: Request incident response assistance from the organization's incident response outsourcer_x000a_Ex3: Designate an incident lead for each incident_x000a_Ex4: Initiate execution of additional cybersecurity plans as needed to support incident response (for example, business continuity and disaster recovery)"/>
    <s v="CCMv4.0: BCR-07_x000a_CCMv4.0: IVS-09_x000a_CCMv4.0: SEF-01_x000a_CCMv4.0: SEF-03_x000a_CCMv4.0: SEF-07_x000a_CIS Controls v8.0: 17.4_x000a_CRI Profile v2.0: RS.MA-01_x000a_CRI Profile v2.0: RS.MA-01.01_x000a_CSF v1.1: RS.RP-1_x000a_CSF v1.1: RS.CO-4_x000a_SP 800-53 Rev 5.1.1: IR-06_x000a_SP 800-53 Rev 5.1.1: IR-07_x000a_SP 800-53 Rev 5.1.1: IR-08_x000a_SP 800-53 Rev 5.1.1: SR-03_x000a_SP 800-53 Rev 5.1.1: SR-08"/>
    <s v="Level 3: Managed"/>
    <n v="3"/>
    <m/>
    <s v="Level 4: Quantitatively Managed"/>
    <n v="4"/>
    <m/>
  </r>
  <r>
    <x v="4"/>
    <x v="16"/>
    <s v="RS.MA-02"/>
    <s v="Incident reports are triaged and validated"/>
    <s v="Ex1: Preliminarily review incident reports to confirm that they are cybersecurity-related and necessitate incident response activities_x000a_Ex2: Apply criteria to estimate the severity of an incident"/>
    <s v="CCMv4.0: SEF-06_x000a_CRI Profile v2.0: RS.MA-02_x000a_CRI Profile v2.0: RS.MA-02.01_x000a_CSF v1.1: RS.AN-1_x000a_CSF v1.1: RS.AN-2_x000a_SP 800-53 Rev 5.1.1: IR-04_x000a_SP 800-53 Rev 5.1.1: IR-05_x000a_SP 800-53 Rev 5.1.1: IR-06"/>
    <s v="Level 3: Managed"/>
    <n v="3"/>
    <m/>
    <s v="Level 4: Quantitatively Managed"/>
    <n v="4"/>
    <m/>
  </r>
  <r>
    <x v="4"/>
    <x v="16"/>
    <s v="RS.MA-03"/>
    <s v="Incidents are categorized and prioritized"/>
    <s v="Ex1: Further review and categorize incidents based on the type of incident (e.g., data breach, ransomware, DDoS, account compromise)_x000a_Ex2: Prioritize incidents based on their scope, likely impact, and time-critical nature_x000a_Ex3: Select incident response strategies for active incidents by balancing the need to quickly recover from an incident with the need to observe the attacker or conduct a more thorough investigation"/>
    <s v="CCMv4.0: SEF-02_x000a_CCMv4.0: SEF-06_x000a_CRI Profile v2.0: RS.MA-03_x000a_CRI Profile v2.0: RS.MA-03.01_x000a_CSF v1.1: RS.AN-4_x000a_CSF v1.1: RS.AN-2_x000a_SP 800-53 Rev 5.1.1: IR-04_x000a_SP 800-53 Rev 5.1.1: IR-05_x000a_SP 800-53 Rev 5.1.1: IR-06"/>
    <s v="Level 3: Managed"/>
    <n v="3"/>
    <m/>
    <s v="Level 4: Quantitatively Managed"/>
    <n v="4"/>
    <m/>
  </r>
  <r>
    <x v="4"/>
    <x v="16"/>
    <s v="RS.MA-04"/>
    <s v="Incidents are escalated or elevated as needed"/>
    <s v="Ex1: Track and validate the status of all ongoing incidents_x000a_Ex2: Coordinate incident escalation or elevation with designated internal and external stakeholders"/>
    <s v="CCMv4.0: SEF-02_x000a_CRI Profile v2.0: RS.MA-04_x000a_CRI Profile v2.0: RS.MA-04.01_x000a_CSF v1.1: RS.AN-2_x000a_CSF v1.1: RS.CO-4_x000a_SP 800-53 Rev 5.1.1: IR-04_x000a_SP 800-53 Rev 5.1.1: IR-05_x000a_SP 800-53 Rev 5.1.1: IR-06_x000a_SP 800-53 Rev 5.1.1: IR-07"/>
    <s v="Level 3: Managed"/>
    <n v="3"/>
    <m/>
    <s v="Level 4: Quantitatively Managed"/>
    <n v="4"/>
    <m/>
  </r>
  <r>
    <x v="4"/>
    <x v="16"/>
    <s v="RS.MA-05"/>
    <s v="The criteria for initiating incident recovery are applied"/>
    <s v="Ex1: Apply incident recovery criteria to known and assumed characteristics of the incident to determine whether incident recovery processes should be initiated_x000a_Ex2: Take the possible operational disruption of incident recovery activities into account"/>
    <s v="CCMv4.0: SEF-02_x000a_CIS Controls v8.0: 17.9_x000a_CRI Profile v2.0: RS.MA-05_x000a_CRI Profile v2.0: RS.MA-05.01_x000a_SP 800-53 Rev 5.1.1: IR-04_x000a_SP 800-53 Rev 5.1.1: IR-08"/>
    <s v="Level 3: Managed"/>
    <n v="3"/>
    <m/>
    <s v="Level 4: Quantitatively Managed"/>
    <n v="4"/>
    <m/>
  </r>
  <r>
    <x v="4"/>
    <x v="17"/>
    <s v="RS.AN-03"/>
    <s v="Analysis is performed to establish what has taken place during an incident and the root cause of the incident"/>
    <s v="Ex1: Determine the sequence of events that occurred during the incident and which assets and resources were involved in each event_x000a_Ex2: Attempt to determine what vulnerabilities, threats, and threat actors were directly or indirectly involved in the incident_x000a_Ex3: Analyze the incident to find the underlying, systemic root causes_x000a_Ex4: Check any cyber deception technology for additional information on attacker behavior"/>
    <s v="CCMv4.0: SEF-06_x000a_CIS Controls v8.0: 17.8_x000a_CRI Profile v2.0: RS.AN-03_x000a_CRI Profile v2.0: RS.AN-03.01_x000a_CSF v1.1: RS.AN-3_x000a_SP 800-53 Rev 5.1.1: AU-07_x000a_SP 800-53 Rev 5.1.1: IR-04"/>
    <s v="Level 3: Managed"/>
    <n v="3"/>
    <m/>
    <s v="Level 4: Quantitatively Managed"/>
    <n v="4"/>
    <m/>
  </r>
  <r>
    <x v="4"/>
    <x v="17"/>
    <s v="RS.AN-06"/>
    <s v="Actions performed during an investigation are recorded, and the records' integrity and provenance are preserved"/>
    <s v="Ex1: Require each incident responder and others (e.g., system administrators, cybersecurity engineers) who perform incident response tasks to record their actions and make the record immutable_x000a_Ex2: Require the incident lead to document the incident in detail and be responsible for preserving the integrity of the documentation and the sources of all information being reported"/>
    <s v="CRI Profile v2.0: RS.AN-06_x000a_CRI Profile v2.0: RS.AN-06.01_x000a_CSF v1.1: RS.AN-3_x000a_SP 800-53 Rev 5.1.1: AU-07_x000a_SP 800-53 Rev 5.1.1: IR-04_x000a_SP 800-53 Rev 5.1.1: IR-06"/>
    <s v="Level 3: Managed"/>
    <n v="3"/>
    <m/>
    <s v="Level 4: Quantitatively Managed"/>
    <n v="4"/>
    <m/>
  </r>
  <r>
    <x v="4"/>
    <x v="17"/>
    <s v="RS.AN-07"/>
    <s v="Incident data and metadata are collected, and their integrity and provenance are preserved"/>
    <s v="Ex1: Collect, preserve, and safeguard the integrity of all pertinent incident data and metadata (e.g., data source, date/time of collection) based on evidence preservation and chain-of-custody procedures"/>
    <s v="CRI Profile v2.0: RS.AN-07_x000a_CRI Profile v2.0: RS.AN-07.01_x000a_SP 800-53 Rev 5.1.1: AU-07_x000a_SP 800-53 Rev 5.1.1: IR-04_x000a_SP 800-53 Rev 5.1.1: IR-06"/>
    <s v="Level 3: Managed"/>
    <n v="3"/>
    <m/>
    <s v="Level 4: Quantitatively Managed"/>
    <n v="4"/>
    <m/>
  </r>
  <r>
    <x v="4"/>
    <x v="17"/>
    <s v="RS.AN-08"/>
    <s v="An incident's magnitude is estimated and validated"/>
    <s v="Ex1: Review other potential targets of the incident to search for indicators of compromise and evidence of persistence_x000a_Ex2: Automatically run tools on targets to look for indicators of compromise and evidence of persistence"/>
    <s v="CRI Profile v2.0: RS.AN-08_x000a_CRI Profile v2.0: RS.AN-08.01_x000a_SP 800-53 Rev 5.1.1: IR-04_x000a_SP 800-53 Rev 5.1.1: IR-08_x000a_SP 800-53 Rev 5.1.1: RA-03_x000a_SP 800-53 Rev 5.1.1: RA-07"/>
    <s v="Level 3: Managed"/>
    <n v="3"/>
    <m/>
    <s v="Level 4: Quantitatively Managed"/>
    <n v="4"/>
    <m/>
  </r>
  <r>
    <x v="4"/>
    <x v="18"/>
    <s v="RS.CO-02"/>
    <s v="Internal and external stakeholders are notified of incidents"/>
    <s v="Ex1: Follow the organization's breach notification procedures after discovering a data breach incident, including notifying affected customers_x000a_Ex2: Notify business partners and customers of incidents in accordance with contractual requirements_x000a_Ex3: Notify law enforcement agencies and regulatory bodies of incidents based on criteria in the incident response plan and management approval"/>
    <s v="CCMv4.0: DSP-18_x000a_CCMv4.0: SEF-02_x000a_CCMv4.0: SEF-07_x000a_CCMv4.0: SEF-08_x000a_CIS Controls v8.0: 17.2_x000a_CRI Profile v2.0: RS.CO-02_x000a_CRI Profile v2.0: RS.CO-02.01_x000a_CRI Profile v2.0: RS.CO-02.02_x000a_CRI Profile v2.0: RS.CO-02.03_x000a_CSF v1.1: RS.CO-2_x000a_CSF v1.1: RS.CO-3_x000a_SP 800-53 Rev 5.1.1: IR-04_x000a_SP 800-53 Rev 5.1.1: IR-06_x000a_SP 800-53 Rev 5.1.1: IR-07_x000a_SP 800-53 Rev 5.1.1: SR-03_x000a_SP 800-53 Rev 5.1.1: SR-08"/>
    <s v="Level 3: Managed"/>
    <n v="3"/>
    <m/>
    <s v="Level 4: Quantitatively Managed"/>
    <n v="4"/>
    <m/>
  </r>
  <r>
    <x v="4"/>
    <x v="18"/>
    <s v="RS.CO-03"/>
    <s v="Information is shared with designated internal and external stakeholders"/>
    <s v="Ex1: Securely share information consistent with response plans and information sharing agreements_x000a_Ex2: Voluntarily share information about an attacker's observed TTPs, with all sensitive data removed, with an Information Sharing and Analysis Center (ISAC)_x000a_Ex3: Notify HR when malicious insider activity occurs_x000a_Ex4: Regularly update senior leadership on the status of major incidents_x000a_Ex5: Follow the rules and protocols defined in contracts for incident information sharing between the organization and its suppliers_x000a_Ex6: Coordinate crisis communication methods between the organization and its critical suppliers"/>
    <s v="CCMv4.0: BCR-07_x000a_CCMv4.0: DSP-18_x000a_CCMv4.0: SEF-07_x000a_CCMv4.0: SEF-08_x000a_CIS Controls v8.0: 17.2_x000a_CRI Profile v2.0: RS.CO-03_x000a_CRI Profile v2.0: RS.CO-03.01_x000a_CRI Profile v2.0: RS.CO-03.02_x000a_CSF v1.1: RS.CO-3_x000a_CSF v1.1: RS.CO-5_x000a_SP 800-53 Rev 5.1.1: IR-04_x000a_SP 800-53 Rev 5.1.1: IR-06_x000a_SP 800-53 Rev 5.1.1: IR-07_x000a_SP 800-53 Rev 5.1.1: SR-03_x000a_SP 800-53 Rev 5.1.1: SR-08"/>
    <s v="Level 3: Managed"/>
    <n v="3"/>
    <m/>
    <s v="Level 4: Quantitatively Managed"/>
    <n v="4"/>
    <m/>
  </r>
  <r>
    <x v="4"/>
    <x v="19"/>
    <s v="RS.MI-01"/>
    <s v="Incidents are contained"/>
    <s v="Ex1: Cybersecurity technologies (e.g., antivirus software) and cybersecurity features of other technologies (e.g., operating systems, network infrastructure devices) automatically perform containment actions_x000a_Ex2: Allow incident responders to manually select and perform containment actions_x000a_Ex3: Allow a third party (e.g., internet service provider, managed security service provider) to perform containment actions on behalf of the organization_x000a_Ex4: Automatically transfer compromised endpoints to a remediation virtual local area network (VLAN)"/>
    <s v="CCMv4.0: CEK-19_x000a_CCMv4.0: CEK-20_x000a_CCMv4.0: IVS-09_x000a_CCMv4.0: SEF-02_x000a_CCMv4.0: UEM-09_x000a_CRI Profile v2.0: RS.MI-01_x000a_CRI Profile v2.0: RS.MI-01.01_x000a_CSF v1.1: RS.MI-1_x000a_SP 800-53 Rev 5.1.1: IR-04"/>
    <s v="Level 3: Managed"/>
    <n v="3"/>
    <m/>
    <s v="Level 4: Quantitatively Managed"/>
    <n v="4"/>
    <m/>
  </r>
  <r>
    <x v="4"/>
    <x v="19"/>
    <s v="RS.MI-02"/>
    <s v="Incidents are eradicated"/>
    <s v="Ex1: Cybersecurity technologies and cybersecurity features of other technologies (e.g., operating systems, network infrastructure devices) automatically perform eradication actions_x000a_Ex2: Allow incident responders to manually select and perform eradication actions_x000a_Ex3: Allow a third party (e.g., managed security service provider) to perform eradication actions on behalf of the organization"/>
    <s v="CCMv4.0: CEK-19_x000a_CCMv4.0: IVS-09_x000a_CCMv4.0: SEF-02_x000a_CCMv4.0: SEF-06_x000a_CRI Profile v2.0: RS.MI-02_x000a_CRI Profile v2.0: RS.MI-02.01_x000a_CSF v1.1: RS.MI-2_x000a_SP 800-53 Rev 5.1.1: IR-04"/>
    <s v="Level 3: Managed"/>
    <n v="3"/>
    <m/>
    <s v="Level 4: Quantitatively Managed"/>
    <n v="4"/>
    <m/>
  </r>
  <r>
    <x v="5"/>
    <x v="20"/>
    <s v="RC.RP-01"/>
    <s v="The recovery portion of the incident response plan is executed once initiated from the incident response process"/>
    <s v="Ex1: Begin recovery procedures during or after incident response processes_x000a_Ex2: Make all individuals with recovery responsibilities aware of the plans for recovery and the authorizations required to implement each aspect of the plans"/>
    <s v="CCMv4.0: BCR-01_x000a_CCMv4.0: SEF-03_x000a_CRI Profile v2.0: RC.RP-01_x000a_CRI Profile v2.0: RC.RP-01.01_x000a_CSF v1.1: RC.RP-1_x000a_SP 800-53 Rev 5.1.1: CP-10_x000a_SP 800-53 Rev 5.1.1: IR-04_x000a_SP 800-53 Rev 5.1.1: IR-08"/>
    <s v="Level 3: Managed"/>
    <n v="3"/>
    <m/>
    <s v="Level 4: Quantitatively Managed"/>
    <n v="4"/>
    <m/>
  </r>
  <r>
    <x v="5"/>
    <x v="20"/>
    <s v="RC.RP-02"/>
    <s v="Recovery actions are selected, scoped, prioritized, and performed"/>
    <s v="Ex1: Select recovery actions based on the criteria defined in the incident response plan and available resources_x000a_Ex2: Change planned recovery actions based on a reassessment of organizational needs and resources"/>
    <s v="CCMv4.0: SEF-06_x000a_CRI Profile v2.0: RC.RP-02_x000a_CRI Profile v2.0: RC.RP-02.01_x000a_CRI Profile v2.0: RC.RP-02.02_x000a_CSF v1.1: RC.RP-1_x000a_SP 800-53 Rev 5.1.1: CP-10_x000a_SP 800-53 Rev 5.1.1: IR-04_x000a_SP 800-53 Rev 5.1.1: IR-08"/>
    <s v="Level 3: Managed"/>
    <n v="3"/>
    <m/>
    <s v="Level 4: Quantitatively Managed"/>
    <n v="4"/>
    <m/>
  </r>
  <r>
    <x v="5"/>
    <x v="20"/>
    <s v="RC.RP-03"/>
    <s v="The integrity of backups and other restoration assets is verified before using them for restoration"/>
    <s v="Ex1: Check restoration assets for indicators of compromise, file corruption, and other integrity issues before use"/>
    <s v="CCMv4.0: BCR-08_x000a_CIS Controls v8.0: 11.5_x000a_CRI Profile v2.0: RC.RP-03_x000a_CRI Profile v2.0: RC.RP-03.01_x000a_SP 800-53 Rev 5.1.1: CP-02_x000a_SP 800-53 Rev 5.1.1: CP-04_x000a_SP 800-53 Rev 5.1.1: CP-09"/>
    <s v="Level 3: Managed"/>
    <n v="3"/>
    <m/>
    <s v="Level 4: Quantitatively Managed"/>
    <n v="4"/>
    <m/>
  </r>
  <r>
    <x v="5"/>
    <x v="20"/>
    <s v="RC.RP-04"/>
    <s v="Critical mission functions and cybersecurity risk management are considered to establish post-incident operational norms"/>
    <s v="Ex1: Use business impact and system categorization records (including service delivery objectives) to validate that essential services are restored in the appropriate order_x000a_Ex2: Work with system owners to confirm the successful restoration of systems and the return to normal operations_x000a_Ex3: Monitor the performance of restored systems to verify the adequacy of the restoration"/>
    <s v="CRI Profile v2.0: RC.RP-04_x000a_CRI Profile v2.0: RC.RP-04.01_x000a_SP 800-53 Rev 5.1.1: PM-08_x000a_SP 800-53 Rev 5.1.1: PM-09_x000a_SP 800-53 Rev 5.1.1: PM-11_x000a_SP 800-53 Rev 5.1.1: IR-01_x000a_SP 800-53 Rev 5.1.1: IR-08"/>
    <s v="Level 3: Managed"/>
    <n v="3"/>
    <m/>
    <s v="Level 4: Quantitatively Managed"/>
    <n v="4"/>
    <m/>
  </r>
  <r>
    <x v="5"/>
    <x v="20"/>
    <s v="RC.RP-05"/>
    <s v="The integrity of restored assets is verified, systems and services are restored, and normal operating status is confirmed"/>
    <s v="Ex1: Check restored assets for indicators of compromise and remediation of root causes of the incident before production use_x000a_Ex2: Verify the correctness and adequacy of the restoration actions taken before putting a restored system online"/>
    <s v="CRI Profile v2.0: RC.RP-05_x000a_CRI Profile v2.0: RC.RP-05.01_x000a_CRI Profile v2.0: RC.RP-05.02_x000a_SP 800-53 Rev 5.1.1: CP-10"/>
    <s v="Level 3: Managed"/>
    <n v="3"/>
    <m/>
    <s v="Level 4: Quantitatively Managed"/>
    <n v="4"/>
    <m/>
  </r>
  <r>
    <x v="5"/>
    <x v="20"/>
    <s v="RC.RP-06"/>
    <s v="The end of incident recovery is declared based on criteria, and incident-related documentation is completed"/>
    <s v="Ex1: Prepare an after-action report that documents the incident itself, the response and recovery actions taken, and lessons learned_x000a_Ex2: Declare the end of incident recovery once the criteria are met"/>
    <s v="CRI Profile v2.0: RC.RP-06_x000a_CRI Profile v2.0: RC.RP-06.01_x000a_SP 800-53 Rev 5.1.1: IR-04_x000a_SP 800-53 Rev 5.1.1: IR-08"/>
    <s v="Level 2: Documented"/>
    <n v="2"/>
    <m/>
    <s v="Level 4: Quantitatively Managed"/>
    <n v="4"/>
    <m/>
  </r>
  <r>
    <x v="5"/>
    <x v="21"/>
    <s v="RC.CO-03"/>
    <s v="Recovery activities and progress in restoring operational capabilities are communicated to designated internal and external stakeholders"/>
    <s v="Ex1: Securely share recovery information, including restoration progress, consistent with response plans and information sharing agreements_x000a_Ex2: Regularly update senior leadership on recovery status and restoration progress for major incidents_x000a_Ex3: Follow the rules and protocols defined in contracts for incident information sharing between the organization and its suppliers_x000a_Ex4: Coordinate crisis communication between the organization and its critical suppliers"/>
    <s v="CRI Profile v2.0: RC.CO-03_x000a_CRI Profile v2.0: RC.CO-03.01_x000a_CRI Profile v2.0: RC.CO-03.02_x000a_CSF v1.1: RC.CO-3_x000a_SP 800-221A: GV.CO-1_x000a_SP 800-53 Rev 5.1.1: IR-04_x000a_SP 800-53 Rev 5.1.1: IR-06_x000a_SP 800-53 Rev 5.1.1: SR-08"/>
    <s v="Level 2: Documented"/>
    <n v="2"/>
    <m/>
    <s v="Level 4: Quantitatively Managed"/>
    <n v="4"/>
    <m/>
  </r>
  <r>
    <x v="5"/>
    <x v="21"/>
    <s v="RC.CO-04"/>
    <s v="Public updates on incident recovery are shared using approved methods and messaging"/>
    <s v="Ex1: Follow the organization's breach notification procedures for recovering from a data breach incident_x000a_Ex2: Explain the steps being taken to recover from the incident and to prevent a recurrence"/>
    <s v="CIS Controls v8.0: 17.2_x000a_CIS Controls v8.0: 17.6_x000a_CRI Profile v2.0: RC.CO-04_x000a_CRI Profile v2.0: RC.CO-04.01_x000a_CSF v1.1: RC.CO-1_x000a_CSF v1.1: RS.CO-2_x000a_SP 800-221A: GV.CO-1_x000a_SP 800-53 Rev 5.1.1: CP-02_x000a_SP 800-53 Rev 5.1.1: IR-04"/>
    <s v="Level 2: Documented"/>
    <n v="2"/>
    <m/>
    <s v="Level 3: Managed"/>
    <n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1771F6-9F95-47FD-A820-616BE473C1F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B12" firstHeaderRow="1" firstDataRow="1" firstDataCol="0"/>
  <pivotFields count="12">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Current Maturity Score" fld="7" subtotal="average" baseField="0" baseItem="0" numFmtId="164"/>
  </dataFields>
  <formats count="12">
    <format dxfId="11">
      <pivotArea type="all" dataOnly="0" outline="0" fieldPosition="0"/>
    </format>
    <format dxfId="10">
      <pivotArea outline="0" collapsedLevelsAreSubtotals="1"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dataOnly="0" labelOnly="1" outline="0" axis="axisValues" fieldPosition="0"/>
    </format>
    <format dxfId="5">
      <pivotArea outline="0" collapsedLevelsAreSubtotals="1" fieldPosition="0"/>
    </format>
    <format dxfId="4">
      <pivotArea outline="0" collapsedLevelsAreSubtotals="1" fieldPosition="0"/>
    </format>
    <format dxfId="3">
      <pivotArea dataOnly="0" labelOnly="1" outline="0" axis="axisValues" fieldPosition="0"/>
    </format>
    <format dxfId="2">
      <pivotArea dataOnly="0" labelOnly="1" outline="0" axis="axisValues"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E88294-C9B5-4C41-B94D-0B100A4DAF7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B61:D68" firstHeaderRow="0" firstDataRow="1" firstDataCol="1"/>
  <pivotFields count="12">
    <pivotField axis="axisRow" showAll="0">
      <items count="7">
        <item x="3"/>
        <item x="0"/>
        <item x="1"/>
        <item x="2"/>
        <item x="5"/>
        <item x="4"/>
        <item t="default"/>
      </items>
    </pivotField>
    <pivotField showAll="0"/>
    <pivotField showAll="0"/>
    <pivotField showAll="0"/>
    <pivotField showAll="0"/>
    <pivotField showAll="0"/>
    <pivotField showAll="0"/>
    <pivotField dataField="1" showAll="0"/>
    <pivotField showAll="0"/>
    <pivotField showAll="0"/>
    <pivotField dataField="1" showAll="0"/>
    <pivotField showAll="0"/>
  </pivotFields>
  <rowFields count="1">
    <field x="0"/>
  </rowFields>
  <rowItems count="7">
    <i>
      <x/>
    </i>
    <i>
      <x v="1"/>
    </i>
    <i>
      <x v="2"/>
    </i>
    <i>
      <x v="3"/>
    </i>
    <i>
      <x v="4"/>
    </i>
    <i>
      <x v="5"/>
    </i>
    <i t="grand">
      <x/>
    </i>
  </rowItems>
  <colFields count="1">
    <field x="-2"/>
  </colFields>
  <colItems count="2">
    <i>
      <x/>
    </i>
    <i i="1">
      <x v="1"/>
    </i>
  </colItems>
  <dataFields count="2">
    <dataField name="Current Maturity" fld="7" subtotal="average" baseField="0" baseItem="0" numFmtId="164"/>
    <dataField name="Target Maturity" fld="10" subtotal="average" baseField="0" baseItem="3"/>
  </dataFields>
  <formats count="17">
    <format dxfId="28">
      <pivotArea type="all" dataOnly="0" outline="0" fieldPosition="0"/>
    </format>
    <format dxfId="27">
      <pivotArea outline="0" collapsedLevelsAreSubtotals="1" fieldPosition="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dataOnly="0" labelOnly="1" outline="0" axis="axisValues" fieldPosition="0"/>
    </format>
    <format dxfId="22">
      <pivotArea outline="0" collapsedLevelsAreSubtotals="1" fieldPosition="0"/>
    </format>
    <format dxfId="21">
      <pivotArea outline="0" collapsedLevelsAreSubtotals="1" fieldPosition="0"/>
    </format>
    <format dxfId="20">
      <pivotArea dataOnly="0" labelOnly="1" outline="0" axis="axisValues" fieldPosition="0"/>
    </format>
    <format dxfId="19">
      <pivotArea dataOnly="0" labelOnly="1" outline="0" axis="axisValues" fieldPosition="0"/>
    </format>
    <format dxfId="18">
      <pivotArea outline="0" collapsedLevelsAreSubtotals="1" fieldPosition="0"/>
    </format>
    <format dxfId="17">
      <pivotArea dataOnly="0" labelOnly="1" outline="0" axis="axisValues" fieldPosition="0"/>
    </format>
    <format dxfId="16">
      <pivotArea dataOnly="0" labelOnly="1" outline="0" axis="axisValues" fieldPosition="0"/>
    </format>
    <format dxfId="15">
      <pivotArea grandRow="1" outline="0" collapsedLevelsAreSubtotals="1" fieldPosition="0"/>
    </format>
    <format dxfId="14">
      <pivotArea dataOnly="0" labelOnly="1" grandRow="1" outline="0" fieldPosition="0"/>
    </format>
    <format dxfId="13">
      <pivotArea field="0" type="button" dataOnly="0" labelOnly="1" outline="0" axis="axisRow" fieldPosition="0"/>
    </format>
    <format dxfId="12">
      <pivotArea dataOnly="0" labelOnly="1" outline="0" fieldPosition="0">
        <references count="1">
          <reference field="4294967294" count="2">
            <x v="0"/>
            <x v="1"/>
          </reference>
        </references>
      </pivotArea>
    </format>
  </formats>
  <chartFormats count="9">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F301F2-C87F-4A45-A5B3-574B5741D63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32:C55" firstHeaderRow="1" firstDataRow="1" firstDataCol="1"/>
  <pivotFields count="12">
    <pivotField showAll="0">
      <items count="7">
        <item x="3"/>
        <item x="0"/>
        <item x="1"/>
        <item x="2"/>
        <item x="5"/>
        <item x="4"/>
        <item t="default"/>
      </items>
    </pivotField>
    <pivotField axis="axisRow" showAll="0" sortType="ascending">
      <items count="23">
        <item x="15"/>
        <item x="6"/>
        <item x="10"/>
        <item x="14"/>
        <item x="5"/>
        <item x="11"/>
        <item x="9"/>
        <item x="8"/>
        <item x="17"/>
        <item x="16"/>
        <item x="19"/>
        <item x="21"/>
        <item x="20"/>
        <item x="18"/>
        <item x="0"/>
        <item x="4"/>
        <item x="12"/>
        <item x="3"/>
        <item x="7"/>
        <item x="1"/>
        <item x="2"/>
        <item x="13"/>
        <item t="default"/>
      </items>
    </pivotField>
    <pivotField showAll="0"/>
    <pivotField showAll="0"/>
    <pivotField showAll="0"/>
    <pivotField showAll="0"/>
    <pivotField showAll="0"/>
    <pivotField dataField="1" showAll="0"/>
    <pivotField showAll="0"/>
    <pivotField showAll="0"/>
    <pivotField showAll="0"/>
    <pivotField showAll="0"/>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Current Maturity Score" fld="7" subtotal="average" baseField="1" baseItem="0"/>
  </dataFields>
  <formats count="17">
    <format dxfId="45">
      <pivotArea type="all" dataOnly="0" outline="0" fieldPosition="0"/>
    </format>
    <format dxfId="44">
      <pivotArea outline="0" collapsedLevelsAreSubtotals="1"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dataOnly="0" labelOnly="1" outline="0" axis="axisValues" fieldPosition="0"/>
    </format>
    <format dxfId="39">
      <pivotArea outline="0" collapsedLevelsAreSubtotals="1" fieldPosition="0"/>
    </format>
    <format dxfId="38">
      <pivotArea outline="0" collapsedLevelsAreSubtotals="1" fieldPosition="0"/>
    </format>
    <format dxfId="37">
      <pivotArea dataOnly="0" labelOnly="1" outline="0" axis="axisValues" fieldPosition="0"/>
    </format>
    <format dxfId="36">
      <pivotArea dataOnly="0" labelOnly="1" outline="0" axis="axisValues" fieldPosition="0"/>
    </format>
    <format dxfId="35">
      <pivotArea outline="0" collapsedLevelsAreSubtotals="1" fieldPosition="0"/>
    </format>
    <format dxfId="34">
      <pivotArea dataOnly="0" labelOnly="1" outline="0" axis="axisValues" fieldPosition="0"/>
    </format>
    <format dxfId="33">
      <pivotArea field="0" type="button" dataOnly="0" labelOnly="1" outline="0"/>
    </format>
    <format dxfId="32">
      <pivotArea grandRow="1" outline="0" collapsedLevelsAreSubtotals="1" fieldPosition="0"/>
    </format>
    <format dxfId="31">
      <pivotArea dataOnly="0" labelOnly="1" grandRow="1" outline="0" fieldPosition="0"/>
    </format>
    <format dxfId="30">
      <pivotArea field="1" type="button" dataOnly="0" labelOnly="1" outline="0" axis="axisRow" fieldPosition="0"/>
    </format>
    <format dxfId="29">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D19F70-0E6E-4480-9781-45A3FB52754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20:C27" firstHeaderRow="1" firstDataRow="1" firstDataCol="1"/>
  <pivotFields count="12">
    <pivotField axis="axisRow" showAll="0">
      <items count="7">
        <item x="3"/>
        <item x="0"/>
        <item x="1"/>
        <item x="2"/>
        <item x="5"/>
        <item x="4"/>
        <item t="default"/>
      </items>
    </pivotField>
    <pivotField showAll="0"/>
    <pivotField showAll="0"/>
    <pivotField showAll="0"/>
    <pivotField showAll="0"/>
    <pivotField showAll="0"/>
    <pivotField showAll="0"/>
    <pivotField dataField="1" showAll="0"/>
    <pivotField showAll="0"/>
    <pivotField showAll="0"/>
    <pivotField showAll="0"/>
    <pivotField showAll="0"/>
  </pivotFields>
  <rowFields count="1">
    <field x="0"/>
  </rowFields>
  <rowItems count="7">
    <i>
      <x/>
    </i>
    <i>
      <x v="1"/>
    </i>
    <i>
      <x v="2"/>
    </i>
    <i>
      <x v="3"/>
    </i>
    <i>
      <x v="4"/>
    </i>
    <i>
      <x v="5"/>
    </i>
    <i t="grand">
      <x/>
    </i>
  </rowItems>
  <colItems count="1">
    <i/>
  </colItems>
  <dataFields count="1">
    <dataField name="Average of Current Maturity Score" fld="7" subtotal="average" baseField="0" baseItem="0" numFmtId="164"/>
  </dataFields>
  <formats count="16">
    <format dxfId="61">
      <pivotArea type="all" dataOnly="0" outline="0" fieldPosition="0"/>
    </format>
    <format dxfId="60">
      <pivotArea outline="0" collapsedLevelsAreSubtotals="1" fieldPosition="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dataOnly="0" labelOnly="1" outline="0" axis="axisValues" fieldPosition="0"/>
    </format>
    <format dxfId="55">
      <pivotArea outline="0" collapsedLevelsAreSubtotals="1" fieldPosition="0"/>
    </format>
    <format dxfId="54">
      <pivotArea outline="0" collapsedLevelsAreSubtotals="1" fieldPosition="0"/>
    </format>
    <format dxfId="53">
      <pivotArea dataOnly="0" labelOnly="1" outline="0" axis="axisValues" fieldPosition="0"/>
    </format>
    <format dxfId="52">
      <pivotArea dataOnly="0" labelOnly="1" outline="0" axis="axisValues" fieldPosition="0"/>
    </format>
    <format dxfId="51">
      <pivotArea outline="0" collapsedLevelsAreSubtotals="1" fieldPosition="0"/>
    </format>
    <format dxfId="50">
      <pivotArea dataOnly="0" labelOnly="1" outline="0" axis="axisValues" fieldPosition="0"/>
    </format>
    <format dxfId="49">
      <pivotArea field="0" type="button" dataOnly="0" labelOnly="1" outline="0" axis="axisRow" fieldPosition="0"/>
    </format>
    <format dxfId="48">
      <pivotArea dataOnly="0" labelOnly="1" outline="0" axis="axisValues" fieldPosition="0"/>
    </format>
    <format dxfId="47">
      <pivotArea grandRow="1" outline="0" collapsedLevelsAreSubtotals="1" fieldPosition="0"/>
    </format>
    <format dxfId="46">
      <pivotArea dataOnly="0" labelOnly="1" grandRow="1" outline="0"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85DF8-3DFA-46D5-8C2B-A6A984125FBC}">
  <dimension ref="A1:AD73"/>
  <sheetViews>
    <sheetView showGridLines="0" zoomScale="85" zoomScaleNormal="85" workbookViewId="0">
      <selection activeCell="AD6" sqref="AD6"/>
    </sheetView>
  </sheetViews>
  <sheetFormatPr defaultColWidth="0" defaultRowHeight="14.5" zeroHeight="1" x14ac:dyDescent="0.35"/>
  <cols>
    <col min="1" max="30" width="9.1796875" customWidth="1"/>
    <col min="31" max="16384" width="9.1796875" hidden="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row r="21" x14ac:dyDescent="0.35"/>
    <row r="22" x14ac:dyDescent="0.35"/>
    <row r="23" x14ac:dyDescent="0.35"/>
    <row r="24" x14ac:dyDescent="0.35"/>
    <row r="25" x14ac:dyDescent="0.35"/>
    <row r="26" x14ac:dyDescent="0.35"/>
    <row r="27" x14ac:dyDescent="0.35"/>
    <row r="28" x14ac:dyDescent="0.35"/>
    <row r="29" x14ac:dyDescent="0.35"/>
    <row r="30" x14ac:dyDescent="0.35"/>
    <row r="31" x14ac:dyDescent="0.35"/>
    <row r="32" x14ac:dyDescent="0.35"/>
    <row r="33" x14ac:dyDescent="0.35"/>
    <row r="34" x14ac:dyDescent="0.35"/>
    <row r="35" x14ac:dyDescent="0.35"/>
    <row r="36" x14ac:dyDescent="0.35"/>
    <row r="37" x14ac:dyDescent="0.35"/>
    <row r="38" x14ac:dyDescent="0.35"/>
    <row r="39" x14ac:dyDescent="0.35"/>
    <row r="40" x14ac:dyDescent="0.35"/>
    <row r="41" x14ac:dyDescent="0.35"/>
    <row r="42" x14ac:dyDescent="0.35"/>
    <row r="43" x14ac:dyDescent="0.35"/>
    <row r="44" x14ac:dyDescent="0.35"/>
    <row r="45" x14ac:dyDescent="0.35"/>
    <row r="46" x14ac:dyDescent="0.35"/>
    <row r="47" x14ac:dyDescent="0.35"/>
    <row r="48" x14ac:dyDescent="0.35"/>
    <row r="49" x14ac:dyDescent="0.35"/>
    <row r="50" x14ac:dyDescent="0.35"/>
    <row r="51" x14ac:dyDescent="0.35"/>
    <row r="52" x14ac:dyDescent="0.35"/>
    <row r="53" x14ac:dyDescent="0.35"/>
    <row r="54" x14ac:dyDescent="0.35"/>
    <row r="55" x14ac:dyDescent="0.35"/>
    <row r="56" x14ac:dyDescent="0.35"/>
    <row r="57" x14ac:dyDescent="0.35"/>
    <row r="58" x14ac:dyDescent="0.35"/>
    <row r="59" x14ac:dyDescent="0.35"/>
    <row r="60" x14ac:dyDescent="0.35"/>
    <row r="61" x14ac:dyDescent="0.35"/>
    <row r="62" x14ac:dyDescent="0.35"/>
    <row r="63" x14ac:dyDescent="0.35"/>
    <row r="64" x14ac:dyDescent="0.35"/>
    <row r="65" x14ac:dyDescent="0.35"/>
    <row r="66" x14ac:dyDescent="0.35"/>
    <row r="67" x14ac:dyDescent="0.35"/>
    <row r="68" x14ac:dyDescent="0.35"/>
    <row r="69" x14ac:dyDescent="0.35"/>
    <row r="70" x14ac:dyDescent="0.35"/>
    <row r="71" x14ac:dyDescent="0.35"/>
    <row r="72" x14ac:dyDescent="0.35"/>
    <row r="73"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12FAA-C4EC-48EE-8C3B-69DD8F06F971}">
  <dimension ref="B8:G68"/>
  <sheetViews>
    <sheetView showGridLines="0" topLeftCell="C6" zoomScale="85" zoomScaleNormal="85" workbookViewId="0">
      <selection activeCell="AE24" sqref="AE24"/>
    </sheetView>
  </sheetViews>
  <sheetFormatPr defaultColWidth="9.1796875" defaultRowHeight="16" x14ac:dyDescent="0.45"/>
  <cols>
    <col min="1" max="1" width="9.1796875" style="10"/>
    <col min="2" max="2" width="13.7265625" style="10" bestFit="1" customWidth="1"/>
    <col min="3" max="3" width="16" style="10" bestFit="1" customWidth="1"/>
    <col min="4" max="4" width="15" style="10" bestFit="1" customWidth="1"/>
    <col min="5" max="16384" width="9.1796875" style="10"/>
  </cols>
  <sheetData>
    <row r="8" spans="2:7" x14ac:dyDescent="0.45">
      <c r="B8" s="36" t="s">
        <v>502</v>
      </c>
      <c r="C8" s="37"/>
      <c r="D8" s="37"/>
      <c r="E8" s="37"/>
      <c r="F8" s="37"/>
      <c r="G8" s="38"/>
    </row>
    <row r="11" spans="2:7" ht="48" x14ac:dyDescent="0.45">
      <c r="B11" s="31" t="s">
        <v>501</v>
      </c>
    </row>
    <row r="12" spans="2:7" x14ac:dyDescent="0.45">
      <c r="B12" s="30">
        <v>2.8113207547169812</v>
      </c>
    </row>
    <row r="18" spans="2:7" x14ac:dyDescent="0.45">
      <c r="B18" s="36" t="s">
        <v>503</v>
      </c>
      <c r="C18" s="37"/>
      <c r="D18" s="37"/>
      <c r="E18" s="37"/>
      <c r="F18" s="37"/>
      <c r="G18" s="38"/>
    </row>
    <row r="20" spans="2:7" ht="32" x14ac:dyDescent="0.45">
      <c r="B20" s="35" t="s">
        <v>504</v>
      </c>
      <c r="C20" s="31" t="s">
        <v>501</v>
      </c>
    </row>
    <row r="21" spans="2:7" x14ac:dyDescent="0.45">
      <c r="B21" s="32" t="s">
        <v>7</v>
      </c>
      <c r="C21" s="30">
        <v>3</v>
      </c>
    </row>
    <row r="22" spans="2:7" x14ac:dyDescent="0.45">
      <c r="B22" s="32" t="s">
        <v>4</v>
      </c>
      <c r="C22" s="30">
        <v>2.967741935483871</v>
      </c>
    </row>
    <row r="23" spans="2:7" x14ac:dyDescent="0.45">
      <c r="B23" s="32" t="s">
        <v>5</v>
      </c>
      <c r="C23" s="30">
        <v>2.2380952380952381</v>
      </c>
    </row>
    <row r="24" spans="2:7" x14ac:dyDescent="0.45">
      <c r="B24" s="32" t="s">
        <v>6</v>
      </c>
      <c r="C24" s="30">
        <v>3</v>
      </c>
    </row>
    <row r="25" spans="2:7" x14ac:dyDescent="0.45">
      <c r="B25" s="32" t="s">
        <v>9</v>
      </c>
      <c r="C25" s="30">
        <v>2.625</v>
      </c>
    </row>
    <row r="26" spans="2:7" x14ac:dyDescent="0.45">
      <c r="B26" s="32" t="s">
        <v>8</v>
      </c>
      <c r="C26" s="30">
        <v>3</v>
      </c>
    </row>
    <row r="27" spans="2:7" x14ac:dyDescent="0.45">
      <c r="B27" s="34" t="s">
        <v>505</v>
      </c>
      <c r="C27" s="33">
        <v>2.8113207547169812</v>
      </c>
    </row>
    <row r="30" spans="2:7" x14ac:dyDescent="0.45">
      <c r="B30" s="36" t="s">
        <v>506</v>
      </c>
      <c r="C30" s="37"/>
      <c r="D30" s="37"/>
      <c r="E30" s="37"/>
      <c r="F30" s="37"/>
      <c r="G30" s="38"/>
    </row>
    <row r="32" spans="2:7" ht="32" x14ac:dyDescent="0.45">
      <c r="B32" s="35" t="s">
        <v>504</v>
      </c>
      <c r="C32" s="31" t="s">
        <v>501</v>
      </c>
    </row>
    <row r="33" spans="2:3" x14ac:dyDescent="0.45">
      <c r="B33" s="32" t="s">
        <v>25</v>
      </c>
      <c r="C33" s="30">
        <v>3</v>
      </c>
    </row>
    <row r="34" spans="2:3" x14ac:dyDescent="0.45">
      <c r="B34" s="32" t="s">
        <v>16</v>
      </c>
      <c r="C34" s="30">
        <v>2.4285714285714284</v>
      </c>
    </row>
    <row r="35" spans="2:3" x14ac:dyDescent="0.45">
      <c r="B35" s="32" t="s">
        <v>20</v>
      </c>
      <c r="C35" s="30">
        <v>3</v>
      </c>
    </row>
    <row r="36" spans="2:3" x14ac:dyDescent="0.45">
      <c r="B36" s="32" t="s">
        <v>24</v>
      </c>
      <c r="C36" s="30">
        <v>3</v>
      </c>
    </row>
    <row r="37" spans="2:3" x14ac:dyDescent="0.45">
      <c r="B37" s="32" t="s">
        <v>15</v>
      </c>
      <c r="C37" s="30">
        <v>3</v>
      </c>
    </row>
    <row r="38" spans="2:3" x14ac:dyDescent="0.45">
      <c r="B38" s="32" t="s">
        <v>21</v>
      </c>
      <c r="C38" s="30">
        <v>3</v>
      </c>
    </row>
    <row r="39" spans="2:3" x14ac:dyDescent="0.45">
      <c r="B39" s="32" t="s">
        <v>19</v>
      </c>
      <c r="C39" s="30">
        <v>3</v>
      </c>
    </row>
    <row r="40" spans="2:3" x14ac:dyDescent="0.45">
      <c r="B40" s="32" t="s">
        <v>18</v>
      </c>
      <c r="C40" s="30">
        <v>2.5</v>
      </c>
    </row>
    <row r="41" spans="2:3" x14ac:dyDescent="0.45">
      <c r="B41" s="32" t="s">
        <v>27</v>
      </c>
      <c r="C41" s="30">
        <v>3</v>
      </c>
    </row>
    <row r="42" spans="2:3" x14ac:dyDescent="0.45">
      <c r="B42" s="32" t="s">
        <v>26</v>
      </c>
      <c r="C42" s="30">
        <v>3</v>
      </c>
    </row>
    <row r="43" spans="2:3" x14ac:dyDescent="0.45">
      <c r="B43" s="32" t="s">
        <v>29</v>
      </c>
      <c r="C43" s="30">
        <v>3</v>
      </c>
    </row>
    <row r="44" spans="2:3" x14ac:dyDescent="0.45">
      <c r="B44" s="32" t="s">
        <v>31</v>
      </c>
      <c r="C44" s="30">
        <v>2</v>
      </c>
    </row>
    <row r="45" spans="2:3" x14ac:dyDescent="0.45">
      <c r="B45" s="32" t="s">
        <v>30</v>
      </c>
      <c r="C45" s="30">
        <v>2.8333333333333335</v>
      </c>
    </row>
    <row r="46" spans="2:3" x14ac:dyDescent="0.45">
      <c r="B46" s="32" t="s">
        <v>28</v>
      </c>
      <c r="C46" s="30">
        <v>3</v>
      </c>
    </row>
    <row r="47" spans="2:3" x14ac:dyDescent="0.45">
      <c r="B47" s="32" t="s">
        <v>10</v>
      </c>
      <c r="C47" s="30">
        <v>2.8</v>
      </c>
    </row>
    <row r="48" spans="2:3" x14ac:dyDescent="0.45">
      <c r="B48" s="32" t="s">
        <v>14</v>
      </c>
      <c r="C48" s="30">
        <v>3</v>
      </c>
    </row>
    <row r="49" spans="2:7" x14ac:dyDescent="0.45">
      <c r="B49" s="32" t="s">
        <v>22</v>
      </c>
      <c r="C49" s="30">
        <v>3</v>
      </c>
    </row>
    <row r="50" spans="2:7" x14ac:dyDescent="0.45">
      <c r="B50" s="32" t="s">
        <v>13</v>
      </c>
      <c r="C50" s="30">
        <v>3</v>
      </c>
    </row>
    <row r="51" spans="2:7" x14ac:dyDescent="0.45">
      <c r="B51" s="32" t="s">
        <v>17</v>
      </c>
      <c r="C51" s="30">
        <v>2</v>
      </c>
    </row>
    <row r="52" spans="2:7" x14ac:dyDescent="0.45">
      <c r="B52" s="32" t="s">
        <v>11</v>
      </c>
      <c r="C52" s="30">
        <v>3</v>
      </c>
    </row>
    <row r="53" spans="2:7" x14ac:dyDescent="0.45">
      <c r="B53" s="32" t="s">
        <v>12</v>
      </c>
      <c r="C53" s="30">
        <v>3</v>
      </c>
    </row>
    <row r="54" spans="2:7" x14ac:dyDescent="0.45">
      <c r="B54" s="32" t="s">
        <v>23</v>
      </c>
      <c r="C54" s="30">
        <v>3</v>
      </c>
    </row>
    <row r="55" spans="2:7" x14ac:dyDescent="0.45">
      <c r="B55" s="34" t="s">
        <v>505</v>
      </c>
      <c r="C55" s="33">
        <v>2.8113207547169812</v>
      </c>
    </row>
    <row r="59" spans="2:7" x14ac:dyDescent="0.45">
      <c r="B59" s="36" t="s">
        <v>507</v>
      </c>
      <c r="C59" s="37"/>
      <c r="D59" s="37"/>
      <c r="E59" s="37"/>
      <c r="F59" s="37"/>
      <c r="G59" s="38"/>
    </row>
    <row r="61" spans="2:7" x14ac:dyDescent="0.45">
      <c r="B61" s="35" t="s">
        <v>504</v>
      </c>
      <c r="C61" s="35" t="s">
        <v>508</v>
      </c>
      <c r="D61" s="35" t="s">
        <v>509</v>
      </c>
    </row>
    <row r="62" spans="2:7" x14ac:dyDescent="0.45">
      <c r="B62" s="32" t="s">
        <v>7</v>
      </c>
      <c r="C62" s="30">
        <v>3</v>
      </c>
      <c r="D62" s="30">
        <v>4</v>
      </c>
    </row>
    <row r="63" spans="2:7" x14ac:dyDescent="0.45">
      <c r="B63" s="32" t="s">
        <v>4</v>
      </c>
      <c r="C63" s="30">
        <v>2.967741935483871</v>
      </c>
      <c r="D63" s="30">
        <v>4</v>
      </c>
    </row>
    <row r="64" spans="2:7" x14ac:dyDescent="0.45">
      <c r="B64" s="32" t="s">
        <v>5</v>
      </c>
      <c r="C64" s="30">
        <v>2.2380952380952381</v>
      </c>
      <c r="D64" s="30">
        <v>4</v>
      </c>
    </row>
    <row r="65" spans="2:4" x14ac:dyDescent="0.45">
      <c r="B65" s="32" t="s">
        <v>6</v>
      </c>
      <c r="C65" s="30">
        <v>3</v>
      </c>
      <c r="D65" s="30">
        <v>4</v>
      </c>
    </row>
    <row r="66" spans="2:4" x14ac:dyDescent="0.45">
      <c r="B66" s="32" t="s">
        <v>9</v>
      </c>
      <c r="C66" s="30">
        <v>2.625</v>
      </c>
      <c r="D66" s="30">
        <v>3.875</v>
      </c>
    </row>
    <row r="67" spans="2:4" x14ac:dyDescent="0.45">
      <c r="B67" s="32" t="s">
        <v>8</v>
      </c>
      <c r="C67" s="30">
        <v>3</v>
      </c>
      <c r="D67" s="30">
        <v>4</v>
      </c>
    </row>
    <row r="68" spans="2:4" x14ac:dyDescent="0.45">
      <c r="B68" s="34" t="s">
        <v>505</v>
      </c>
      <c r="C68" s="33">
        <v>2.8113207547169812</v>
      </c>
      <c r="D68" s="33">
        <v>3.9905660377358489</v>
      </c>
    </row>
  </sheetData>
  <mergeCells count="4">
    <mergeCell ref="B8:G8"/>
    <mergeCell ref="B18:G18"/>
    <mergeCell ref="B30:G30"/>
    <mergeCell ref="B59:G59"/>
  </mergeCells>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0C5CB-B028-44CE-8B5D-804408E9FFBE}">
  <dimension ref="A1:M108"/>
  <sheetViews>
    <sheetView showGridLines="0" tabSelected="1" zoomScale="85" zoomScaleNormal="100" workbookViewId="0">
      <pane xSplit="4" ySplit="2" topLeftCell="E39" activePane="bottomRight" state="frozen"/>
      <selection pane="topRight" activeCell="E1" sqref="E1"/>
      <selection pane="bottomLeft" activeCell="A2" sqref="A2"/>
      <selection pane="bottomRight" activeCell="D38" sqref="D38"/>
    </sheetView>
  </sheetViews>
  <sheetFormatPr defaultColWidth="0" defaultRowHeight="16" x14ac:dyDescent="0.45"/>
  <cols>
    <col min="1" max="1" width="15.81640625" style="16" customWidth="1"/>
    <col min="2" max="2" width="21.1796875" style="16" customWidth="1"/>
    <col min="3" max="3" width="15.1796875" style="16" customWidth="1"/>
    <col min="4" max="4" width="57.08984375" style="17" customWidth="1"/>
    <col min="5" max="5" width="59.26953125" style="16" customWidth="1"/>
    <col min="6" max="6" width="39.81640625" style="17" customWidth="1"/>
    <col min="7" max="7" width="20.26953125" style="16" customWidth="1"/>
    <col min="8" max="8" width="20.26953125" style="18" customWidth="1"/>
    <col min="9" max="9" width="20.26953125" style="16" customWidth="1"/>
    <col min="10" max="10" width="15.7265625" style="17" bestFit="1" customWidth="1"/>
    <col min="11" max="11" width="20" style="18" customWidth="1"/>
    <col min="12" max="12" width="21" style="16" customWidth="1"/>
    <col min="13" max="13" width="9.1796875" style="10" customWidth="1"/>
    <col min="14" max="16384" width="9.1796875" style="10" hidden="1"/>
  </cols>
  <sheetData>
    <row r="1" spans="1:12" s="39" customFormat="1" ht="73.5" customHeight="1" x14ac:dyDescent="0.35"/>
    <row r="2" spans="1:12" ht="38.25" customHeight="1" x14ac:dyDescent="0.45">
      <c r="A2" s="19" t="s">
        <v>0</v>
      </c>
      <c r="B2" s="19" t="s">
        <v>1</v>
      </c>
      <c r="C2" s="19" t="s">
        <v>2</v>
      </c>
      <c r="D2" s="19" t="s">
        <v>274</v>
      </c>
      <c r="E2" s="19" t="s">
        <v>3</v>
      </c>
      <c r="F2" s="19" t="s">
        <v>275</v>
      </c>
      <c r="G2" s="20" t="s">
        <v>389</v>
      </c>
      <c r="H2" s="20" t="s">
        <v>390</v>
      </c>
      <c r="I2" s="20" t="s">
        <v>499</v>
      </c>
      <c r="J2" s="21" t="s">
        <v>391</v>
      </c>
      <c r="K2" s="21" t="s">
        <v>392</v>
      </c>
      <c r="L2" s="21" t="s">
        <v>500</v>
      </c>
    </row>
    <row r="3" spans="1:12" ht="144" x14ac:dyDescent="0.45">
      <c r="A3" s="11" t="s">
        <v>4</v>
      </c>
      <c r="B3" s="11" t="s">
        <v>10</v>
      </c>
      <c r="C3" s="11" t="s">
        <v>62</v>
      </c>
      <c r="D3" s="12" t="s">
        <v>63</v>
      </c>
      <c r="E3" s="11" t="s">
        <v>393</v>
      </c>
      <c r="F3" s="12" t="s">
        <v>276</v>
      </c>
      <c r="G3" s="13" t="s">
        <v>387</v>
      </c>
      <c r="H3" s="14">
        <f>IF(G3="","",VLOOKUP(G3,'Maturity Definitions'!$B$4:$D$8,3,FALSE))</f>
        <v>3</v>
      </c>
      <c r="I3" s="13"/>
      <c r="J3" s="12" t="s">
        <v>510</v>
      </c>
      <c r="K3" s="15">
        <f>IF(J3="","",VLOOKUP(J3,'Maturity Definitions'!$B$4:$D$8,3,FALSE))</f>
        <v>4</v>
      </c>
      <c r="L3" s="13"/>
    </row>
    <row r="4" spans="1:12" ht="304" x14ac:dyDescent="0.45">
      <c r="A4" s="11" t="s">
        <v>4</v>
      </c>
      <c r="B4" s="11" t="s">
        <v>10</v>
      </c>
      <c r="C4" s="11" t="s">
        <v>64</v>
      </c>
      <c r="D4" s="12" t="s">
        <v>65</v>
      </c>
      <c r="E4" s="11" t="s">
        <v>394</v>
      </c>
      <c r="F4" s="12" t="s">
        <v>277</v>
      </c>
      <c r="G4" s="13" t="s">
        <v>386</v>
      </c>
      <c r="H4" s="14">
        <f>IF(G4="","",VLOOKUP(G4,'Maturity Definitions'!$B$4:$D$8,3,FALSE))</f>
        <v>2</v>
      </c>
      <c r="I4" s="13"/>
      <c r="J4" s="12" t="s">
        <v>510</v>
      </c>
      <c r="K4" s="15">
        <f>IF(J4="","",VLOOKUP(J4,'Maturity Definitions'!$B$4:$D$8,3,FALSE))</f>
        <v>4</v>
      </c>
      <c r="L4" s="13"/>
    </row>
    <row r="5" spans="1:12" ht="409.5" x14ac:dyDescent="0.45">
      <c r="A5" s="11" t="s">
        <v>4</v>
      </c>
      <c r="B5" s="11" t="s">
        <v>10</v>
      </c>
      <c r="C5" s="11" t="s">
        <v>66</v>
      </c>
      <c r="D5" s="12" t="s">
        <v>67</v>
      </c>
      <c r="E5" s="11" t="s">
        <v>395</v>
      </c>
      <c r="F5" s="12" t="s">
        <v>278</v>
      </c>
      <c r="G5" s="13" t="s">
        <v>387</v>
      </c>
      <c r="H5" s="14">
        <f>IF(G5="","",VLOOKUP(G5,'Maturity Definitions'!$B$4:$D$8,3,FALSE))</f>
        <v>3</v>
      </c>
      <c r="I5" s="13"/>
      <c r="J5" s="12" t="s">
        <v>510</v>
      </c>
      <c r="K5" s="15">
        <f>IF(J5="","",VLOOKUP(J5,'Maturity Definitions'!$B$4:$D$8,3,FALSE))</f>
        <v>4</v>
      </c>
      <c r="L5" s="13"/>
    </row>
    <row r="6" spans="1:12" ht="304" x14ac:dyDescent="0.45">
      <c r="A6" s="11" t="s">
        <v>4</v>
      </c>
      <c r="B6" s="11" t="s">
        <v>10</v>
      </c>
      <c r="C6" s="11" t="s">
        <v>68</v>
      </c>
      <c r="D6" s="12" t="s">
        <v>69</v>
      </c>
      <c r="E6" s="11" t="s">
        <v>396</v>
      </c>
      <c r="F6" s="12" t="s">
        <v>279</v>
      </c>
      <c r="G6" s="13" t="s">
        <v>387</v>
      </c>
      <c r="H6" s="14">
        <f>IF(G6="","",VLOOKUP(G6,'Maturity Definitions'!$B$4:$D$8,3,FALSE))</f>
        <v>3</v>
      </c>
      <c r="I6" s="13"/>
      <c r="J6" s="12" t="s">
        <v>510</v>
      </c>
      <c r="K6" s="15">
        <f>IF(J6="","",VLOOKUP(J6,'Maturity Definitions'!$B$4:$D$8,3,FALSE))</f>
        <v>4</v>
      </c>
      <c r="L6" s="13"/>
    </row>
    <row r="7" spans="1:12" ht="272" x14ac:dyDescent="0.45">
      <c r="A7" s="11" t="s">
        <v>4</v>
      </c>
      <c r="B7" s="11" t="s">
        <v>10</v>
      </c>
      <c r="C7" s="11" t="s">
        <v>70</v>
      </c>
      <c r="D7" s="12" t="s">
        <v>71</v>
      </c>
      <c r="E7" s="11" t="s">
        <v>397</v>
      </c>
      <c r="F7" s="12" t="s">
        <v>280</v>
      </c>
      <c r="G7" s="13" t="s">
        <v>387</v>
      </c>
      <c r="H7" s="14">
        <f>IF(G7="","",VLOOKUP(G7,'Maturity Definitions'!$B$4:$D$8,3,FALSE))</f>
        <v>3</v>
      </c>
      <c r="I7" s="13"/>
      <c r="J7" s="12" t="s">
        <v>510</v>
      </c>
      <c r="K7" s="15">
        <f>IF(J7="","",VLOOKUP(J7,'Maturity Definitions'!$B$4:$D$8,3,FALSE))</f>
        <v>4</v>
      </c>
      <c r="L7" s="13"/>
    </row>
    <row r="8" spans="1:12" ht="208" x14ac:dyDescent="0.45">
      <c r="A8" s="11" t="s">
        <v>4</v>
      </c>
      <c r="B8" s="11" t="s">
        <v>11</v>
      </c>
      <c r="C8" s="11" t="s">
        <v>72</v>
      </c>
      <c r="D8" s="12" t="s">
        <v>73</v>
      </c>
      <c r="E8" s="11" t="s">
        <v>398</v>
      </c>
      <c r="F8" s="12" t="s">
        <v>281</v>
      </c>
      <c r="G8" s="13" t="s">
        <v>387</v>
      </c>
      <c r="H8" s="14">
        <f>IF(G8="","",VLOOKUP(G8,'Maturity Definitions'!$B$4:$D$8,3,FALSE))</f>
        <v>3</v>
      </c>
      <c r="I8" s="13"/>
      <c r="J8" s="12" t="s">
        <v>510</v>
      </c>
      <c r="K8" s="15">
        <f>IF(J8="","",VLOOKUP(J8,'Maturity Definitions'!$B$4:$D$8,3,FALSE))</f>
        <v>4</v>
      </c>
      <c r="L8" s="13"/>
    </row>
    <row r="9" spans="1:12" ht="192" x14ac:dyDescent="0.45">
      <c r="A9" s="11" t="s">
        <v>4</v>
      </c>
      <c r="B9" s="11" t="s">
        <v>11</v>
      </c>
      <c r="C9" s="11" t="s">
        <v>74</v>
      </c>
      <c r="D9" s="12" t="s">
        <v>75</v>
      </c>
      <c r="E9" s="11" t="s">
        <v>399</v>
      </c>
      <c r="F9" s="12" t="s">
        <v>282</v>
      </c>
      <c r="G9" s="13" t="s">
        <v>387</v>
      </c>
      <c r="H9" s="14">
        <f>IF(G9="","",VLOOKUP(G9,'Maturity Definitions'!$B$4:$D$8,3,FALSE))</f>
        <v>3</v>
      </c>
      <c r="I9" s="13"/>
      <c r="J9" s="12" t="s">
        <v>510</v>
      </c>
      <c r="K9" s="15">
        <f>IF(J9="","",VLOOKUP(J9,'Maturity Definitions'!$B$4:$D$8,3,FALSE))</f>
        <v>4</v>
      </c>
      <c r="L9" s="13"/>
    </row>
    <row r="10" spans="1:12" ht="240" x14ac:dyDescent="0.45">
      <c r="A10" s="11" t="s">
        <v>4</v>
      </c>
      <c r="B10" s="11" t="s">
        <v>11</v>
      </c>
      <c r="C10" s="11" t="s">
        <v>76</v>
      </c>
      <c r="D10" s="12" t="s">
        <v>77</v>
      </c>
      <c r="E10" s="11" t="s">
        <v>400</v>
      </c>
      <c r="F10" s="12" t="s">
        <v>283</v>
      </c>
      <c r="G10" s="13" t="s">
        <v>387</v>
      </c>
      <c r="H10" s="14">
        <f>IF(G10="","",VLOOKUP(G10,'Maturity Definitions'!$B$4:$D$8,3,FALSE))</f>
        <v>3</v>
      </c>
      <c r="I10" s="13"/>
      <c r="J10" s="12" t="s">
        <v>510</v>
      </c>
      <c r="K10" s="15">
        <f>IF(J10="","",VLOOKUP(J10,'Maturity Definitions'!$B$4:$D$8,3,FALSE))</f>
        <v>4</v>
      </c>
      <c r="L10" s="13"/>
    </row>
    <row r="11" spans="1:12" ht="176" x14ac:dyDescent="0.45">
      <c r="A11" s="11" t="s">
        <v>4</v>
      </c>
      <c r="B11" s="11" t="s">
        <v>11</v>
      </c>
      <c r="C11" s="11" t="s">
        <v>78</v>
      </c>
      <c r="D11" s="12" t="s">
        <v>79</v>
      </c>
      <c r="E11" s="11" t="s">
        <v>401</v>
      </c>
      <c r="F11" s="12" t="s">
        <v>284</v>
      </c>
      <c r="G11" s="13" t="s">
        <v>387</v>
      </c>
      <c r="H11" s="14">
        <f>IF(G11="","",VLOOKUP(G11,'Maturity Definitions'!$B$4:$D$8,3,FALSE))</f>
        <v>3</v>
      </c>
      <c r="I11" s="13"/>
      <c r="J11" s="12" t="s">
        <v>510</v>
      </c>
      <c r="K11" s="15">
        <f>IF(J11="","",VLOOKUP(J11,'Maturity Definitions'!$B$4:$D$8,3,FALSE))</f>
        <v>4</v>
      </c>
      <c r="L11" s="13"/>
    </row>
    <row r="12" spans="1:12" ht="160" x14ac:dyDescent="0.45">
      <c r="A12" s="11" t="s">
        <v>4</v>
      </c>
      <c r="B12" s="11" t="s">
        <v>11</v>
      </c>
      <c r="C12" s="11" t="s">
        <v>80</v>
      </c>
      <c r="D12" s="12" t="s">
        <v>81</v>
      </c>
      <c r="E12" s="11" t="s">
        <v>402</v>
      </c>
      <c r="F12" s="12" t="s">
        <v>285</v>
      </c>
      <c r="G12" s="13" t="s">
        <v>387</v>
      </c>
      <c r="H12" s="14">
        <f>IF(G12="","",VLOOKUP(G12,'Maturity Definitions'!$B$4:$D$8,3,FALSE))</f>
        <v>3</v>
      </c>
      <c r="I12" s="13"/>
      <c r="J12" s="12" t="s">
        <v>510</v>
      </c>
      <c r="K12" s="15">
        <f>IF(J12="","",VLOOKUP(J12,'Maturity Definitions'!$B$4:$D$8,3,FALSE))</f>
        <v>4</v>
      </c>
      <c r="L12" s="13"/>
    </row>
    <row r="13" spans="1:12" ht="192" x14ac:dyDescent="0.45">
      <c r="A13" s="11" t="s">
        <v>4</v>
      </c>
      <c r="B13" s="11" t="s">
        <v>11</v>
      </c>
      <c r="C13" s="11" t="s">
        <v>82</v>
      </c>
      <c r="D13" s="12" t="s">
        <v>83</v>
      </c>
      <c r="E13" s="11" t="s">
        <v>403</v>
      </c>
      <c r="F13" s="12" t="s">
        <v>286</v>
      </c>
      <c r="G13" s="13" t="s">
        <v>387</v>
      </c>
      <c r="H13" s="14">
        <f>IF(G13="","",VLOOKUP(G13,'Maturity Definitions'!$B$4:$D$8,3,FALSE))</f>
        <v>3</v>
      </c>
      <c r="I13" s="13"/>
      <c r="J13" s="12" t="s">
        <v>510</v>
      </c>
      <c r="K13" s="15">
        <f>IF(J13="","",VLOOKUP(J13,'Maturity Definitions'!$B$4:$D$8,3,FALSE))</f>
        <v>4</v>
      </c>
      <c r="L13" s="13"/>
    </row>
    <row r="14" spans="1:12" ht="128" x14ac:dyDescent="0.45">
      <c r="A14" s="11" t="s">
        <v>4</v>
      </c>
      <c r="B14" s="11" t="s">
        <v>11</v>
      </c>
      <c r="C14" s="11" t="s">
        <v>84</v>
      </c>
      <c r="D14" s="12" t="s">
        <v>85</v>
      </c>
      <c r="E14" s="11" t="s">
        <v>404</v>
      </c>
      <c r="F14" s="12" t="s">
        <v>287</v>
      </c>
      <c r="G14" s="13" t="s">
        <v>387</v>
      </c>
      <c r="H14" s="14">
        <f>IF(G14="","",VLOOKUP(G14,'Maturity Definitions'!$B$4:$D$8,3,FALSE))</f>
        <v>3</v>
      </c>
      <c r="I14" s="13"/>
      <c r="J14" s="12" t="s">
        <v>510</v>
      </c>
      <c r="K14" s="15">
        <f>IF(J14="","",VLOOKUP(J14,'Maturity Definitions'!$B$4:$D$8,3,FALSE))</f>
        <v>4</v>
      </c>
      <c r="L14" s="13"/>
    </row>
    <row r="15" spans="1:12" ht="240" x14ac:dyDescent="0.45">
      <c r="A15" s="11" t="s">
        <v>4</v>
      </c>
      <c r="B15" s="11" t="s">
        <v>12</v>
      </c>
      <c r="C15" s="11" t="s">
        <v>86</v>
      </c>
      <c r="D15" s="12" t="s">
        <v>87</v>
      </c>
      <c r="E15" s="11" t="s">
        <v>405</v>
      </c>
      <c r="F15" s="12" t="s">
        <v>288</v>
      </c>
      <c r="G15" s="13" t="s">
        <v>387</v>
      </c>
      <c r="H15" s="14">
        <f>IF(G15="","",VLOOKUP(G15,'Maturity Definitions'!$B$4:$D$8,3,FALSE))</f>
        <v>3</v>
      </c>
      <c r="I15" s="13"/>
      <c r="J15" s="12" t="s">
        <v>510</v>
      </c>
      <c r="K15" s="15">
        <f>IF(J15="","",VLOOKUP(J15,'Maturity Definitions'!$B$4:$D$8,3,FALSE))</f>
        <v>4</v>
      </c>
      <c r="L15" s="13"/>
    </row>
    <row r="16" spans="1:12" ht="409.5" x14ac:dyDescent="0.45">
      <c r="A16" s="11" t="s">
        <v>4</v>
      </c>
      <c r="B16" s="11" t="s">
        <v>12</v>
      </c>
      <c r="C16" s="11" t="s">
        <v>88</v>
      </c>
      <c r="D16" s="12" t="s">
        <v>89</v>
      </c>
      <c r="E16" s="11" t="s">
        <v>406</v>
      </c>
      <c r="F16" s="12" t="s">
        <v>289</v>
      </c>
      <c r="G16" s="13" t="s">
        <v>387</v>
      </c>
      <c r="H16" s="14">
        <f>IF(G16="","",VLOOKUP(G16,'Maturity Definitions'!$B$4:$D$8,3,FALSE))</f>
        <v>3</v>
      </c>
      <c r="I16" s="13"/>
      <c r="J16" s="12" t="s">
        <v>510</v>
      </c>
      <c r="K16" s="15">
        <f>IF(J16="","",VLOOKUP(J16,'Maturity Definitions'!$B$4:$D$8,3,FALSE))</f>
        <v>4</v>
      </c>
      <c r="L16" s="13"/>
    </row>
    <row r="17" spans="1:12" ht="112" x14ac:dyDescent="0.45">
      <c r="A17" s="11" t="s">
        <v>4</v>
      </c>
      <c r="B17" s="11" t="s">
        <v>12</v>
      </c>
      <c r="C17" s="11" t="s">
        <v>90</v>
      </c>
      <c r="D17" s="12" t="s">
        <v>91</v>
      </c>
      <c r="E17" s="11" t="s">
        <v>407</v>
      </c>
      <c r="F17" s="12" t="s">
        <v>290</v>
      </c>
      <c r="G17" s="13" t="s">
        <v>387</v>
      </c>
      <c r="H17" s="14">
        <f>IF(G17="","",VLOOKUP(G17,'Maturity Definitions'!$B$4:$D$8,3,FALSE))</f>
        <v>3</v>
      </c>
      <c r="I17" s="13"/>
      <c r="J17" s="12" t="s">
        <v>510</v>
      </c>
      <c r="K17" s="15">
        <f>IF(J17="","",VLOOKUP(J17,'Maturity Definitions'!$B$4:$D$8,3,FALSE))</f>
        <v>4</v>
      </c>
      <c r="L17" s="13"/>
    </row>
    <row r="18" spans="1:12" ht="288" x14ac:dyDescent="0.45">
      <c r="A18" s="11" t="s">
        <v>4</v>
      </c>
      <c r="B18" s="11" t="s">
        <v>12</v>
      </c>
      <c r="C18" s="11" t="s">
        <v>92</v>
      </c>
      <c r="D18" s="12" t="s">
        <v>93</v>
      </c>
      <c r="E18" s="11" t="s">
        <v>408</v>
      </c>
      <c r="F18" s="12" t="s">
        <v>291</v>
      </c>
      <c r="G18" s="13" t="s">
        <v>387</v>
      </c>
      <c r="H18" s="14">
        <f>IF(G18="","",VLOOKUP(G18,'Maturity Definitions'!$B$4:$D$8,3,FALSE))</f>
        <v>3</v>
      </c>
      <c r="I18" s="13"/>
      <c r="J18" s="12" t="s">
        <v>510</v>
      </c>
      <c r="K18" s="15">
        <f>IF(J18="","",VLOOKUP(J18,'Maturity Definitions'!$B$4:$D$8,3,FALSE))</f>
        <v>4</v>
      </c>
      <c r="L18" s="13"/>
    </row>
    <row r="19" spans="1:12" ht="409.5" x14ac:dyDescent="0.45">
      <c r="A19" s="11" t="s">
        <v>4</v>
      </c>
      <c r="B19" s="11" t="s">
        <v>13</v>
      </c>
      <c r="C19" s="11" t="s">
        <v>94</v>
      </c>
      <c r="D19" s="12" t="s">
        <v>95</v>
      </c>
      <c r="E19" s="11" t="s">
        <v>409</v>
      </c>
      <c r="F19" s="12" t="s">
        <v>292</v>
      </c>
      <c r="G19" s="13" t="s">
        <v>387</v>
      </c>
      <c r="H19" s="14">
        <f>IF(G19="","",VLOOKUP(G19,'Maturity Definitions'!$B$4:$D$8,3,FALSE))</f>
        <v>3</v>
      </c>
      <c r="I19" s="13"/>
      <c r="J19" s="12" t="s">
        <v>510</v>
      </c>
      <c r="K19" s="15">
        <f>IF(J19="","",VLOOKUP(J19,'Maturity Definitions'!$B$4:$D$8,3,FALSE))</f>
        <v>4</v>
      </c>
      <c r="L19" s="13"/>
    </row>
    <row r="20" spans="1:12" ht="409.5" x14ac:dyDescent="0.45">
      <c r="A20" s="11" t="s">
        <v>4</v>
      </c>
      <c r="B20" s="11" t="s">
        <v>13</v>
      </c>
      <c r="C20" s="11" t="s">
        <v>96</v>
      </c>
      <c r="D20" s="12" t="s">
        <v>97</v>
      </c>
      <c r="E20" s="11" t="s">
        <v>410</v>
      </c>
      <c r="F20" s="12" t="s">
        <v>293</v>
      </c>
      <c r="G20" s="13" t="s">
        <v>387</v>
      </c>
      <c r="H20" s="14">
        <f>IF(G20="","",VLOOKUP(G20,'Maturity Definitions'!$B$4:$D$8,3,FALSE))</f>
        <v>3</v>
      </c>
      <c r="I20" s="13"/>
      <c r="J20" s="12" t="s">
        <v>510</v>
      </c>
      <c r="K20" s="15">
        <f>IF(J20="","",VLOOKUP(J20,'Maturity Definitions'!$B$4:$D$8,3,FALSE))</f>
        <v>4</v>
      </c>
      <c r="L20" s="13"/>
    </row>
    <row r="21" spans="1:12" ht="409.5" x14ac:dyDescent="0.45">
      <c r="A21" s="11" t="s">
        <v>4</v>
      </c>
      <c r="B21" s="11" t="s">
        <v>14</v>
      </c>
      <c r="C21" s="11" t="s">
        <v>98</v>
      </c>
      <c r="D21" s="12" t="s">
        <v>99</v>
      </c>
      <c r="E21" s="11" t="s">
        <v>411</v>
      </c>
      <c r="F21" s="12" t="s">
        <v>294</v>
      </c>
      <c r="G21" s="13" t="s">
        <v>387</v>
      </c>
      <c r="H21" s="14">
        <f>IF(G21="","",VLOOKUP(G21,'Maturity Definitions'!$B$4:$D$8,3,FALSE))</f>
        <v>3</v>
      </c>
      <c r="I21" s="13"/>
      <c r="J21" s="12" t="s">
        <v>510</v>
      </c>
      <c r="K21" s="15">
        <f>IF(J21="","",VLOOKUP(J21,'Maturity Definitions'!$B$4:$D$8,3,FALSE))</f>
        <v>4</v>
      </c>
      <c r="L21" s="13"/>
    </row>
    <row r="22" spans="1:12" ht="192" x14ac:dyDescent="0.45">
      <c r="A22" s="11" t="s">
        <v>4</v>
      </c>
      <c r="B22" s="11" t="s">
        <v>14</v>
      </c>
      <c r="C22" s="11" t="s">
        <v>100</v>
      </c>
      <c r="D22" s="12" t="s">
        <v>101</v>
      </c>
      <c r="E22" s="11" t="s">
        <v>412</v>
      </c>
      <c r="F22" s="12" t="s">
        <v>295</v>
      </c>
      <c r="G22" s="13" t="s">
        <v>387</v>
      </c>
      <c r="H22" s="14">
        <f>IF(G22="","",VLOOKUP(G22,'Maturity Definitions'!$B$4:$D$8,3,FALSE))</f>
        <v>3</v>
      </c>
      <c r="I22" s="13"/>
      <c r="J22" s="12" t="s">
        <v>510</v>
      </c>
      <c r="K22" s="15">
        <f>IF(J22="","",VLOOKUP(J22,'Maturity Definitions'!$B$4:$D$8,3,FALSE))</f>
        <v>4</v>
      </c>
      <c r="L22" s="13"/>
    </row>
    <row r="23" spans="1:12" ht="160" x14ac:dyDescent="0.45">
      <c r="A23" s="11" t="s">
        <v>4</v>
      </c>
      <c r="B23" s="11" t="s">
        <v>14</v>
      </c>
      <c r="C23" s="11" t="s">
        <v>102</v>
      </c>
      <c r="D23" s="12" t="s">
        <v>103</v>
      </c>
      <c r="E23" s="11" t="s">
        <v>413</v>
      </c>
      <c r="F23" s="12" t="s">
        <v>296</v>
      </c>
      <c r="G23" s="13" t="s">
        <v>387</v>
      </c>
      <c r="H23" s="14">
        <f>IF(G23="","",VLOOKUP(G23,'Maturity Definitions'!$B$4:$D$8,3,FALSE))</f>
        <v>3</v>
      </c>
      <c r="I23" s="13"/>
      <c r="J23" s="12" t="s">
        <v>510</v>
      </c>
      <c r="K23" s="15">
        <f>IF(J23="","",VLOOKUP(J23,'Maturity Definitions'!$B$4:$D$8,3,FALSE))</f>
        <v>4</v>
      </c>
      <c r="L23" s="13"/>
    </row>
    <row r="24" spans="1:12" ht="208" x14ac:dyDescent="0.45">
      <c r="A24" s="11" t="s">
        <v>4</v>
      </c>
      <c r="B24" s="11" t="s">
        <v>15</v>
      </c>
      <c r="C24" s="11" t="s">
        <v>104</v>
      </c>
      <c r="D24" s="12" t="s">
        <v>105</v>
      </c>
      <c r="E24" s="11" t="s">
        <v>414</v>
      </c>
      <c r="F24" s="12" t="s">
        <v>297</v>
      </c>
      <c r="G24" s="13" t="s">
        <v>387</v>
      </c>
      <c r="H24" s="14">
        <f>IF(G24="","",VLOOKUP(G24,'Maturity Definitions'!$B$4:$D$8,3,FALSE))</f>
        <v>3</v>
      </c>
      <c r="I24" s="13"/>
      <c r="J24" s="12" t="s">
        <v>510</v>
      </c>
      <c r="K24" s="15">
        <f>IF(J24="","",VLOOKUP(J24,'Maturity Definitions'!$B$4:$D$8,3,FALSE))</f>
        <v>4</v>
      </c>
      <c r="L24" s="13"/>
    </row>
    <row r="25" spans="1:12" ht="368" x14ac:dyDescent="0.45">
      <c r="A25" s="11" t="s">
        <v>4</v>
      </c>
      <c r="B25" s="11" t="s">
        <v>15</v>
      </c>
      <c r="C25" s="11" t="s">
        <v>106</v>
      </c>
      <c r="D25" s="12" t="s">
        <v>107</v>
      </c>
      <c r="E25" s="11" t="s">
        <v>415</v>
      </c>
      <c r="F25" s="12" t="s">
        <v>298</v>
      </c>
      <c r="G25" s="13" t="s">
        <v>387</v>
      </c>
      <c r="H25" s="14">
        <f>IF(G25="","",VLOOKUP(G25,'Maturity Definitions'!$B$4:$D$8,3,FALSE))</f>
        <v>3</v>
      </c>
      <c r="I25" s="13"/>
      <c r="J25" s="12" t="s">
        <v>510</v>
      </c>
      <c r="K25" s="15">
        <f>IF(J25="","",VLOOKUP(J25,'Maturity Definitions'!$B$4:$D$8,3,FALSE))</f>
        <v>4</v>
      </c>
      <c r="L25" s="13"/>
    </row>
    <row r="26" spans="1:12" ht="409.5" x14ac:dyDescent="0.45">
      <c r="A26" s="11" t="s">
        <v>4</v>
      </c>
      <c r="B26" s="11" t="s">
        <v>15</v>
      </c>
      <c r="C26" s="11" t="s">
        <v>108</v>
      </c>
      <c r="D26" s="12" t="s">
        <v>109</v>
      </c>
      <c r="E26" s="11" t="s">
        <v>416</v>
      </c>
      <c r="F26" s="12" t="s">
        <v>299</v>
      </c>
      <c r="G26" s="13" t="s">
        <v>387</v>
      </c>
      <c r="H26" s="14">
        <f>IF(G26="","",VLOOKUP(G26,'Maturity Definitions'!$B$4:$D$8,3,FALSE))</f>
        <v>3</v>
      </c>
      <c r="I26" s="13"/>
      <c r="J26" s="12" t="s">
        <v>510</v>
      </c>
      <c r="K26" s="15">
        <f>IF(J26="","",VLOOKUP(J26,'Maturity Definitions'!$B$4:$D$8,3,FALSE))</f>
        <v>4</v>
      </c>
      <c r="L26" s="13"/>
    </row>
    <row r="27" spans="1:12" ht="176" x14ac:dyDescent="0.45">
      <c r="A27" s="11" t="s">
        <v>4</v>
      </c>
      <c r="B27" s="11" t="s">
        <v>15</v>
      </c>
      <c r="C27" s="11" t="s">
        <v>110</v>
      </c>
      <c r="D27" s="12" t="s">
        <v>111</v>
      </c>
      <c r="E27" s="11" t="s">
        <v>417</v>
      </c>
      <c r="F27" s="12" t="s">
        <v>300</v>
      </c>
      <c r="G27" s="13" t="s">
        <v>387</v>
      </c>
      <c r="H27" s="14">
        <f>IF(G27="","",VLOOKUP(G27,'Maturity Definitions'!$B$4:$D$8,3,FALSE))</f>
        <v>3</v>
      </c>
      <c r="I27" s="13"/>
      <c r="J27" s="12" t="s">
        <v>510</v>
      </c>
      <c r="K27" s="15">
        <f>IF(J27="","",VLOOKUP(J27,'Maturity Definitions'!$B$4:$D$8,3,FALSE))</f>
        <v>4</v>
      </c>
      <c r="L27" s="13"/>
    </row>
    <row r="28" spans="1:12" ht="409.5" customHeight="1" x14ac:dyDescent="0.45">
      <c r="A28" s="11" t="s">
        <v>4</v>
      </c>
      <c r="B28" s="11" t="s">
        <v>15</v>
      </c>
      <c r="C28" s="11" t="s">
        <v>112</v>
      </c>
      <c r="D28" s="12" t="s">
        <v>113</v>
      </c>
      <c r="E28" s="11" t="s">
        <v>418</v>
      </c>
      <c r="F28" s="12" t="s">
        <v>301</v>
      </c>
      <c r="G28" s="13" t="s">
        <v>387</v>
      </c>
      <c r="H28" s="14">
        <f>IF(G28="","",VLOOKUP(G28,'Maturity Definitions'!$B$4:$D$8,3,FALSE))</f>
        <v>3</v>
      </c>
      <c r="I28" s="13"/>
      <c r="J28" s="12" t="s">
        <v>510</v>
      </c>
      <c r="K28" s="15">
        <f>IF(J28="","",VLOOKUP(J28,'Maturity Definitions'!$B$4:$D$8,3,FALSE))</f>
        <v>4</v>
      </c>
      <c r="L28" s="13"/>
    </row>
    <row r="29" spans="1:12" ht="320" x14ac:dyDescent="0.45">
      <c r="A29" s="11" t="s">
        <v>4</v>
      </c>
      <c r="B29" s="11" t="s">
        <v>15</v>
      </c>
      <c r="C29" s="11" t="s">
        <v>114</v>
      </c>
      <c r="D29" s="12" t="s">
        <v>115</v>
      </c>
      <c r="E29" s="11" t="s">
        <v>419</v>
      </c>
      <c r="F29" s="12" t="s">
        <v>302</v>
      </c>
      <c r="G29" s="13" t="s">
        <v>387</v>
      </c>
      <c r="H29" s="14">
        <f>IF(G29="","",VLOOKUP(G29,'Maturity Definitions'!$B$4:$D$8,3,FALSE))</f>
        <v>3</v>
      </c>
      <c r="I29" s="13"/>
      <c r="J29" s="12" t="s">
        <v>510</v>
      </c>
      <c r="K29" s="15">
        <f>IF(J29="","",VLOOKUP(J29,'Maturity Definitions'!$B$4:$D$8,3,FALSE))</f>
        <v>4</v>
      </c>
      <c r="L29" s="13"/>
    </row>
    <row r="30" spans="1:12" ht="409.5" x14ac:dyDescent="0.45">
      <c r="A30" s="11" t="s">
        <v>4</v>
      </c>
      <c r="B30" s="11" t="s">
        <v>15</v>
      </c>
      <c r="C30" s="11" t="s">
        <v>116</v>
      </c>
      <c r="D30" s="12" t="s">
        <v>117</v>
      </c>
      <c r="E30" s="11" t="s">
        <v>420</v>
      </c>
      <c r="F30" s="12" t="s">
        <v>303</v>
      </c>
      <c r="G30" s="13" t="s">
        <v>387</v>
      </c>
      <c r="H30" s="14">
        <f>IF(G30="","",VLOOKUP(G30,'Maturity Definitions'!$B$4:$D$8,3,FALSE))</f>
        <v>3</v>
      </c>
      <c r="I30" s="13"/>
      <c r="J30" s="12" t="s">
        <v>510</v>
      </c>
      <c r="K30" s="15">
        <f>IF(J30="","",VLOOKUP(J30,'Maturity Definitions'!$B$4:$D$8,3,FALSE))</f>
        <v>4</v>
      </c>
      <c r="L30" s="13"/>
    </row>
    <row r="31" spans="1:12" ht="304" x14ac:dyDescent="0.45">
      <c r="A31" s="11" t="s">
        <v>4</v>
      </c>
      <c r="B31" s="11" t="s">
        <v>15</v>
      </c>
      <c r="C31" s="11" t="s">
        <v>118</v>
      </c>
      <c r="D31" s="12" t="s">
        <v>119</v>
      </c>
      <c r="E31" s="11" t="s">
        <v>421</v>
      </c>
      <c r="F31" s="12" t="s">
        <v>304</v>
      </c>
      <c r="G31" s="13" t="s">
        <v>387</v>
      </c>
      <c r="H31" s="14">
        <f>IF(G31="","",VLOOKUP(G31,'Maturity Definitions'!$B$4:$D$8,3,FALSE))</f>
        <v>3</v>
      </c>
      <c r="I31" s="13"/>
      <c r="J31" s="12" t="s">
        <v>510</v>
      </c>
      <c r="K31" s="15">
        <f>IF(J31="","",VLOOKUP(J31,'Maturity Definitions'!$B$4:$D$8,3,FALSE))</f>
        <v>4</v>
      </c>
      <c r="L31" s="13"/>
    </row>
    <row r="32" spans="1:12" ht="320" x14ac:dyDescent="0.45">
      <c r="A32" s="11" t="s">
        <v>4</v>
      </c>
      <c r="B32" s="11" t="s">
        <v>15</v>
      </c>
      <c r="C32" s="11" t="s">
        <v>120</v>
      </c>
      <c r="D32" s="12" t="s">
        <v>121</v>
      </c>
      <c r="E32" s="11" t="s">
        <v>422</v>
      </c>
      <c r="F32" s="12" t="s">
        <v>305</v>
      </c>
      <c r="G32" s="13" t="s">
        <v>387</v>
      </c>
      <c r="H32" s="14">
        <f>IF(G32="","",VLOOKUP(G32,'Maturity Definitions'!$B$4:$D$8,3,FALSE))</f>
        <v>3</v>
      </c>
      <c r="I32" s="13"/>
      <c r="J32" s="12" t="s">
        <v>510</v>
      </c>
      <c r="K32" s="15">
        <f>IF(J32="","",VLOOKUP(J32,'Maturity Definitions'!$B$4:$D$8,3,FALSE))</f>
        <v>4</v>
      </c>
      <c r="L32" s="13"/>
    </row>
    <row r="33" spans="1:12" ht="409.5" x14ac:dyDescent="0.45">
      <c r="A33" s="11" t="s">
        <v>4</v>
      </c>
      <c r="B33" s="11" t="s">
        <v>15</v>
      </c>
      <c r="C33" s="11" t="s">
        <v>122</v>
      </c>
      <c r="D33" s="12" t="s">
        <v>123</v>
      </c>
      <c r="E33" s="11" t="s">
        <v>423</v>
      </c>
      <c r="F33" s="12" t="s">
        <v>306</v>
      </c>
      <c r="G33" s="13" t="s">
        <v>387</v>
      </c>
      <c r="H33" s="14">
        <f>IF(G33="","",VLOOKUP(G33,'Maturity Definitions'!$B$4:$D$8,3,FALSE))</f>
        <v>3</v>
      </c>
      <c r="I33" s="13"/>
      <c r="J33" s="12" t="s">
        <v>510</v>
      </c>
      <c r="K33" s="15">
        <f>IF(J33="","",VLOOKUP(J33,'Maturity Definitions'!$B$4:$D$8,3,FALSE))</f>
        <v>4</v>
      </c>
      <c r="L33" s="13"/>
    </row>
    <row r="34" spans="1:12" ht="176" x14ac:dyDescent="0.45">
      <c r="A34" s="11" t="s">
        <v>5</v>
      </c>
      <c r="B34" s="11" t="s">
        <v>16</v>
      </c>
      <c r="C34" s="11" t="s">
        <v>124</v>
      </c>
      <c r="D34" s="12" t="s">
        <v>125</v>
      </c>
      <c r="E34" s="11" t="s">
        <v>424</v>
      </c>
      <c r="F34" s="12" t="s">
        <v>307</v>
      </c>
      <c r="G34" s="13" t="s">
        <v>387</v>
      </c>
      <c r="H34" s="14">
        <f>IF(G34="","",VLOOKUP(G34,'Maturity Definitions'!$B$4:$D$8,3,FALSE))</f>
        <v>3</v>
      </c>
      <c r="I34" s="13"/>
      <c r="J34" s="12" t="s">
        <v>510</v>
      </c>
      <c r="K34" s="15">
        <f>IF(J34="","",VLOOKUP(J34,'Maturity Definitions'!$B$4:$D$8,3,FALSE))</f>
        <v>4</v>
      </c>
      <c r="L34" s="13"/>
    </row>
    <row r="35" spans="1:12" ht="240" x14ac:dyDescent="0.45">
      <c r="A35" s="11" t="s">
        <v>5</v>
      </c>
      <c r="B35" s="11" t="s">
        <v>16</v>
      </c>
      <c r="C35" s="11" t="s">
        <v>126</v>
      </c>
      <c r="D35" s="12" t="s">
        <v>127</v>
      </c>
      <c r="E35" s="11" t="s">
        <v>425</v>
      </c>
      <c r="F35" s="12" t="s">
        <v>308</v>
      </c>
      <c r="G35" s="13" t="s">
        <v>387</v>
      </c>
      <c r="H35" s="14">
        <f>IF(G35="","",VLOOKUP(G35,'Maturity Definitions'!$B$4:$D$8,3,FALSE))</f>
        <v>3</v>
      </c>
      <c r="I35" s="13"/>
      <c r="J35" s="12" t="s">
        <v>510</v>
      </c>
      <c r="K35" s="15">
        <f>IF(J35="","",VLOOKUP(J35,'Maturity Definitions'!$B$4:$D$8,3,FALSE))</f>
        <v>4</v>
      </c>
      <c r="L35" s="13"/>
    </row>
    <row r="36" spans="1:12" ht="272" x14ac:dyDescent="0.45">
      <c r="A36" s="11" t="s">
        <v>5</v>
      </c>
      <c r="B36" s="11" t="s">
        <v>16</v>
      </c>
      <c r="C36" s="11" t="s">
        <v>128</v>
      </c>
      <c r="D36" s="12" t="s">
        <v>129</v>
      </c>
      <c r="E36" s="11" t="s">
        <v>426</v>
      </c>
      <c r="F36" s="12" t="s">
        <v>309</v>
      </c>
      <c r="G36" s="13" t="s">
        <v>387</v>
      </c>
      <c r="H36" s="14">
        <f>IF(G36="","",VLOOKUP(G36,'Maturity Definitions'!$B$4:$D$8,3,FALSE))</f>
        <v>3</v>
      </c>
      <c r="I36" s="13"/>
      <c r="J36" s="12" t="s">
        <v>510</v>
      </c>
      <c r="K36" s="15">
        <f>IF(J36="","",VLOOKUP(J36,'Maturity Definitions'!$B$4:$D$8,3,FALSE))</f>
        <v>4</v>
      </c>
      <c r="L36" s="13"/>
    </row>
    <row r="37" spans="1:12" ht="192" x14ac:dyDescent="0.45">
      <c r="A37" s="11" t="s">
        <v>5</v>
      </c>
      <c r="B37" s="11" t="s">
        <v>16</v>
      </c>
      <c r="C37" s="11" t="s">
        <v>130</v>
      </c>
      <c r="D37" s="12" t="s">
        <v>131</v>
      </c>
      <c r="E37" s="11" t="s">
        <v>427</v>
      </c>
      <c r="F37" s="12" t="s">
        <v>310</v>
      </c>
      <c r="G37" s="13" t="s">
        <v>387</v>
      </c>
      <c r="H37" s="14">
        <f>IF(G37="","",VLOOKUP(G37,'Maturity Definitions'!$B$4:$D$8,3,FALSE))</f>
        <v>3</v>
      </c>
      <c r="I37" s="13"/>
      <c r="J37" s="12" t="s">
        <v>510</v>
      </c>
      <c r="K37" s="15">
        <f>IF(J37="","",VLOOKUP(J37,'Maturity Definitions'!$B$4:$D$8,3,FALSE))</f>
        <v>4</v>
      </c>
      <c r="L37" s="13"/>
    </row>
    <row r="38" spans="1:12" ht="192" x14ac:dyDescent="0.45">
      <c r="A38" s="11" t="s">
        <v>5</v>
      </c>
      <c r="B38" s="11" t="s">
        <v>16</v>
      </c>
      <c r="C38" s="11" t="s">
        <v>132</v>
      </c>
      <c r="D38" s="12" t="s">
        <v>133</v>
      </c>
      <c r="E38" s="11" t="s">
        <v>428</v>
      </c>
      <c r="F38" s="12" t="s">
        <v>311</v>
      </c>
      <c r="G38" s="13" t="s">
        <v>387</v>
      </c>
      <c r="H38" s="14">
        <f>IF(G38="","",VLOOKUP(G38,'Maturity Definitions'!$B$4:$D$8,3,FALSE))</f>
        <v>3</v>
      </c>
      <c r="I38" s="13"/>
      <c r="J38" s="12" t="s">
        <v>510</v>
      </c>
      <c r="K38" s="15">
        <f>IF(J38="","",VLOOKUP(J38,'Maturity Definitions'!$B$4:$D$8,3,FALSE))</f>
        <v>4</v>
      </c>
      <c r="L38" s="13"/>
    </row>
    <row r="39" spans="1:12" ht="224" x14ac:dyDescent="0.45">
      <c r="A39" s="11" t="s">
        <v>5</v>
      </c>
      <c r="B39" s="11" t="s">
        <v>16</v>
      </c>
      <c r="C39" s="11" t="s">
        <v>134</v>
      </c>
      <c r="D39" s="12" t="s">
        <v>135</v>
      </c>
      <c r="E39" s="11" t="s">
        <v>429</v>
      </c>
      <c r="F39" s="12" t="s">
        <v>312</v>
      </c>
      <c r="G39" s="13" t="s">
        <v>385</v>
      </c>
      <c r="H39" s="14">
        <f>IF(G39="","",VLOOKUP(G39,'Maturity Definitions'!$B$4:$D$8,3,FALSE))</f>
        <v>1</v>
      </c>
      <c r="I39" s="13"/>
      <c r="J39" s="12" t="s">
        <v>510</v>
      </c>
      <c r="K39" s="15">
        <f>IF(J39="","",VLOOKUP(J39,'Maturity Definitions'!$B$4:$D$8,3,FALSE))</f>
        <v>4</v>
      </c>
      <c r="L39" s="13"/>
    </row>
    <row r="40" spans="1:12" ht="409.5" x14ac:dyDescent="0.45">
      <c r="A40" s="11" t="s">
        <v>5</v>
      </c>
      <c r="B40" s="11" t="s">
        <v>16</v>
      </c>
      <c r="C40" s="11" t="s">
        <v>136</v>
      </c>
      <c r="D40" s="12" t="s">
        <v>137</v>
      </c>
      <c r="E40" s="11" t="s">
        <v>430</v>
      </c>
      <c r="F40" s="12" t="s">
        <v>313</v>
      </c>
      <c r="G40" s="13" t="s">
        <v>385</v>
      </c>
      <c r="H40" s="14">
        <f>IF(G40="","",VLOOKUP(G40,'Maturity Definitions'!$B$4:$D$8,3,FALSE))</f>
        <v>1</v>
      </c>
      <c r="I40" s="13"/>
      <c r="J40" s="12" t="s">
        <v>510</v>
      </c>
      <c r="K40" s="15">
        <f>IF(J40="","",VLOOKUP(J40,'Maturity Definitions'!$B$4:$D$8,3,FALSE))</f>
        <v>4</v>
      </c>
      <c r="L40" s="13"/>
    </row>
    <row r="41" spans="1:12" ht="409.5" x14ac:dyDescent="0.45">
      <c r="A41" s="11" t="s">
        <v>5</v>
      </c>
      <c r="B41" s="11" t="s">
        <v>17</v>
      </c>
      <c r="C41" s="11" t="s">
        <v>138</v>
      </c>
      <c r="D41" s="12" t="s">
        <v>139</v>
      </c>
      <c r="E41" s="11" t="s">
        <v>431</v>
      </c>
      <c r="F41" s="12" t="s">
        <v>314</v>
      </c>
      <c r="G41" s="13" t="s">
        <v>385</v>
      </c>
      <c r="H41" s="14">
        <f>IF(G41="","",VLOOKUP(G41,'Maturity Definitions'!$B$4:$D$8,3,FALSE))</f>
        <v>1</v>
      </c>
      <c r="I41" s="13"/>
      <c r="J41" s="12" t="s">
        <v>510</v>
      </c>
      <c r="K41" s="15">
        <f>IF(J41="","",VLOOKUP(J41,'Maturity Definitions'!$B$4:$D$8,3,FALSE))</f>
        <v>4</v>
      </c>
      <c r="L41" s="13"/>
    </row>
    <row r="42" spans="1:12" ht="160" x14ac:dyDescent="0.45">
      <c r="A42" s="11" t="s">
        <v>5</v>
      </c>
      <c r="B42" s="11" t="s">
        <v>17</v>
      </c>
      <c r="C42" s="11" t="s">
        <v>140</v>
      </c>
      <c r="D42" s="12" t="s">
        <v>141</v>
      </c>
      <c r="E42" s="11" t="s">
        <v>432</v>
      </c>
      <c r="F42" s="12" t="s">
        <v>315</v>
      </c>
      <c r="G42" s="13" t="s">
        <v>385</v>
      </c>
      <c r="H42" s="14">
        <f>IF(G42="","",VLOOKUP(G42,'Maturity Definitions'!$B$4:$D$8,3,FALSE))</f>
        <v>1</v>
      </c>
      <c r="I42" s="13"/>
      <c r="J42" s="12" t="s">
        <v>510</v>
      </c>
      <c r="K42" s="15">
        <f>IF(J42="","",VLOOKUP(J42,'Maturity Definitions'!$B$4:$D$8,3,FALSE))</f>
        <v>4</v>
      </c>
      <c r="L42" s="13"/>
    </row>
    <row r="43" spans="1:12" ht="208" x14ac:dyDescent="0.45">
      <c r="A43" s="11" t="s">
        <v>5</v>
      </c>
      <c r="B43" s="11" t="s">
        <v>17</v>
      </c>
      <c r="C43" s="11" t="s">
        <v>142</v>
      </c>
      <c r="D43" s="12" t="s">
        <v>143</v>
      </c>
      <c r="E43" s="11" t="s">
        <v>433</v>
      </c>
      <c r="F43" s="12" t="s">
        <v>316</v>
      </c>
      <c r="G43" s="13" t="s">
        <v>387</v>
      </c>
      <c r="H43" s="14">
        <f>IF(G43="","",VLOOKUP(G43,'Maturity Definitions'!$B$4:$D$8,3,FALSE))</f>
        <v>3</v>
      </c>
      <c r="I43" s="13"/>
      <c r="J43" s="12" t="s">
        <v>510</v>
      </c>
      <c r="K43" s="15">
        <f>IF(J43="","",VLOOKUP(J43,'Maturity Definitions'!$B$4:$D$8,3,FALSE))</f>
        <v>4</v>
      </c>
      <c r="L43" s="13"/>
    </row>
    <row r="44" spans="1:12" ht="256" x14ac:dyDescent="0.45">
      <c r="A44" s="11" t="s">
        <v>5</v>
      </c>
      <c r="B44" s="11" t="s">
        <v>17</v>
      </c>
      <c r="C44" s="11" t="s">
        <v>144</v>
      </c>
      <c r="D44" s="12" t="s">
        <v>145</v>
      </c>
      <c r="E44" s="11" t="s">
        <v>434</v>
      </c>
      <c r="F44" s="12" t="s">
        <v>317</v>
      </c>
      <c r="G44" s="13" t="s">
        <v>386</v>
      </c>
      <c r="H44" s="14">
        <f>IF(G44="","",VLOOKUP(G44,'Maturity Definitions'!$B$4:$D$8,3,FALSE))</f>
        <v>2</v>
      </c>
      <c r="I44" s="13"/>
      <c r="J44" s="12" t="s">
        <v>510</v>
      </c>
      <c r="K44" s="15">
        <f>IF(J44="","",VLOOKUP(J44,'Maturity Definitions'!$B$4:$D$8,3,FALSE))</f>
        <v>4</v>
      </c>
      <c r="L44" s="13"/>
    </row>
    <row r="45" spans="1:12" ht="288" x14ac:dyDescent="0.45">
      <c r="A45" s="11" t="s">
        <v>5</v>
      </c>
      <c r="B45" s="11" t="s">
        <v>17</v>
      </c>
      <c r="C45" s="11" t="s">
        <v>146</v>
      </c>
      <c r="D45" s="12" t="s">
        <v>147</v>
      </c>
      <c r="E45" s="11" t="s">
        <v>435</v>
      </c>
      <c r="F45" s="12" t="s">
        <v>318</v>
      </c>
      <c r="G45" s="13" t="s">
        <v>387</v>
      </c>
      <c r="H45" s="14">
        <f>IF(G45="","",VLOOKUP(G45,'Maturity Definitions'!$B$4:$D$8,3,FALSE))</f>
        <v>3</v>
      </c>
      <c r="I45" s="13"/>
      <c r="J45" s="12" t="s">
        <v>510</v>
      </c>
      <c r="K45" s="15">
        <f>IF(J45="","",VLOOKUP(J45,'Maturity Definitions'!$B$4:$D$8,3,FALSE))</f>
        <v>4</v>
      </c>
      <c r="L45" s="13"/>
    </row>
    <row r="46" spans="1:12" ht="384" x14ac:dyDescent="0.45">
      <c r="A46" s="11" t="s">
        <v>5</v>
      </c>
      <c r="B46" s="11" t="s">
        <v>17</v>
      </c>
      <c r="C46" s="11" t="s">
        <v>148</v>
      </c>
      <c r="D46" s="12" t="s">
        <v>149</v>
      </c>
      <c r="E46" s="11" t="s">
        <v>436</v>
      </c>
      <c r="F46" s="12" t="s">
        <v>319</v>
      </c>
      <c r="G46" s="13" t="s">
        <v>386</v>
      </c>
      <c r="H46" s="14">
        <f>IF(G46="","",VLOOKUP(G46,'Maturity Definitions'!$B$4:$D$8,3,FALSE))</f>
        <v>2</v>
      </c>
      <c r="I46" s="13"/>
      <c r="J46" s="12" t="s">
        <v>510</v>
      </c>
      <c r="K46" s="15">
        <f>IF(J46="","",VLOOKUP(J46,'Maturity Definitions'!$B$4:$D$8,3,FALSE))</f>
        <v>4</v>
      </c>
      <c r="L46" s="13"/>
    </row>
    <row r="47" spans="1:12" ht="368" x14ac:dyDescent="0.45">
      <c r="A47" s="11" t="s">
        <v>5</v>
      </c>
      <c r="B47" s="11" t="s">
        <v>17</v>
      </c>
      <c r="C47" s="11" t="s">
        <v>150</v>
      </c>
      <c r="D47" s="12" t="s">
        <v>151</v>
      </c>
      <c r="E47" s="11" t="s">
        <v>437</v>
      </c>
      <c r="F47" s="12" t="s">
        <v>320</v>
      </c>
      <c r="G47" s="13" t="s">
        <v>386</v>
      </c>
      <c r="H47" s="14">
        <f>IF(G47="","",VLOOKUP(G47,'Maturity Definitions'!$B$4:$D$8,3,FALSE))</f>
        <v>2</v>
      </c>
      <c r="I47" s="13"/>
      <c r="J47" s="12" t="s">
        <v>510</v>
      </c>
      <c r="K47" s="15">
        <f>IF(J47="","",VLOOKUP(J47,'Maturity Definitions'!$B$4:$D$8,3,FALSE))</f>
        <v>4</v>
      </c>
      <c r="L47" s="13"/>
    </row>
    <row r="48" spans="1:12" ht="160" x14ac:dyDescent="0.45">
      <c r="A48" s="11" t="s">
        <v>5</v>
      </c>
      <c r="B48" s="11" t="s">
        <v>17</v>
      </c>
      <c r="C48" s="11" t="s">
        <v>152</v>
      </c>
      <c r="D48" s="12" t="s">
        <v>153</v>
      </c>
      <c r="E48" s="11" t="s">
        <v>438</v>
      </c>
      <c r="F48" s="12" t="s">
        <v>321</v>
      </c>
      <c r="G48" s="13" t="s">
        <v>386</v>
      </c>
      <c r="H48" s="14">
        <f>IF(G48="","",VLOOKUP(G48,'Maturity Definitions'!$B$4:$D$8,3,FALSE))</f>
        <v>2</v>
      </c>
      <c r="I48" s="13"/>
      <c r="J48" s="12" t="s">
        <v>510</v>
      </c>
      <c r="K48" s="15">
        <f>IF(J48="","",VLOOKUP(J48,'Maturity Definitions'!$B$4:$D$8,3,FALSE))</f>
        <v>4</v>
      </c>
      <c r="L48" s="13"/>
    </row>
    <row r="49" spans="1:12" ht="288" x14ac:dyDescent="0.45">
      <c r="A49" s="11" t="s">
        <v>5</v>
      </c>
      <c r="B49" s="11" t="s">
        <v>17</v>
      </c>
      <c r="C49" s="11" t="s">
        <v>154</v>
      </c>
      <c r="D49" s="12" t="s">
        <v>155</v>
      </c>
      <c r="E49" s="11" t="s">
        <v>439</v>
      </c>
      <c r="F49" s="12" t="s">
        <v>322</v>
      </c>
      <c r="G49" s="13" t="s">
        <v>386</v>
      </c>
      <c r="H49" s="14">
        <f>IF(G49="","",VLOOKUP(G49,'Maturity Definitions'!$B$4:$D$8,3,FALSE))</f>
        <v>2</v>
      </c>
      <c r="I49" s="13"/>
      <c r="J49" s="12" t="s">
        <v>510</v>
      </c>
      <c r="K49" s="15">
        <f>IF(J49="","",VLOOKUP(J49,'Maturity Definitions'!$B$4:$D$8,3,FALSE))</f>
        <v>4</v>
      </c>
      <c r="L49" s="13"/>
    </row>
    <row r="50" spans="1:12" ht="192" x14ac:dyDescent="0.45">
      <c r="A50" s="11" t="s">
        <v>5</v>
      </c>
      <c r="B50" s="11" t="s">
        <v>17</v>
      </c>
      <c r="C50" s="11" t="s">
        <v>156</v>
      </c>
      <c r="D50" s="12" t="s">
        <v>157</v>
      </c>
      <c r="E50" s="11" t="s">
        <v>440</v>
      </c>
      <c r="F50" s="12" t="s">
        <v>323</v>
      </c>
      <c r="G50" s="13" t="s">
        <v>386</v>
      </c>
      <c r="H50" s="14">
        <f>IF(G50="","",VLOOKUP(G50,'Maturity Definitions'!$B$4:$D$8,3,FALSE))</f>
        <v>2</v>
      </c>
      <c r="I50" s="13"/>
      <c r="J50" s="12" t="s">
        <v>510</v>
      </c>
      <c r="K50" s="15">
        <f>IF(J50="","",VLOOKUP(J50,'Maturity Definitions'!$B$4:$D$8,3,FALSE))</f>
        <v>4</v>
      </c>
      <c r="L50" s="13"/>
    </row>
    <row r="51" spans="1:12" ht="409.5" x14ac:dyDescent="0.45">
      <c r="A51" s="11" t="s">
        <v>5</v>
      </c>
      <c r="B51" s="11" t="s">
        <v>18</v>
      </c>
      <c r="C51" s="11" t="s">
        <v>158</v>
      </c>
      <c r="D51" s="12" t="s">
        <v>159</v>
      </c>
      <c r="E51" s="11" t="s">
        <v>441</v>
      </c>
      <c r="F51" s="12" t="s">
        <v>324</v>
      </c>
      <c r="G51" s="13" t="s">
        <v>386</v>
      </c>
      <c r="H51" s="14">
        <f>IF(G51="","",VLOOKUP(G51,'Maturity Definitions'!$B$4:$D$8,3,FALSE))</f>
        <v>2</v>
      </c>
      <c r="I51" s="13"/>
      <c r="J51" s="12" t="s">
        <v>510</v>
      </c>
      <c r="K51" s="15">
        <f>IF(J51="","",VLOOKUP(J51,'Maturity Definitions'!$B$4:$D$8,3,FALSE))</f>
        <v>4</v>
      </c>
      <c r="L51" s="13"/>
    </row>
    <row r="52" spans="1:12" ht="409.5" x14ac:dyDescent="0.45">
      <c r="A52" s="11" t="s">
        <v>5</v>
      </c>
      <c r="B52" s="11" t="s">
        <v>18</v>
      </c>
      <c r="C52" s="11" t="s">
        <v>160</v>
      </c>
      <c r="D52" s="12" t="s">
        <v>161</v>
      </c>
      <c r="E52" s="11" t="s">
        <v>442</v>
      </c>
      <c r="F52" s="12" t="s">
        <v>325</v>
      </c>
      <c r="G52" s="13" t="s">
        <v>386</v>
      </c>
      <c r="H52" s="14">
        <f>IF(G52="","",VLOOKUP(G52,'Maturity Definitions'!$B$4:$D$8,3,FALSE))</f>
        <v>2</v>
      </c>
      <c r="I52" s="13"/>
      <c r="J52" s="12" t="s">
        <v>510</v>
      </c>
      <c r="K52" s="15">
        <f>IF(J52="","",VLOOKUP(J52,'Maturity Definitions'!$B$4:$D$8,3,FALSE))</f>
        <v>4</v>
      </c>
      <c r="L52" s="13"/>
    </row>
    <row r="53" spans="1:12" ht="409.5" x14ac:dyDescent="0.45">
      <c r="A53" s="11" t="s">
        <v>5</v>
      </c>
      <c r="B53" s="11" t="s">
        <v>18</v>
      </c>
      <c r="C53" s="11" t="s">
        <v>162</v>
      </c>
      <c r="D53" s="12" t="s">
        <v>163</v>
      </c>
      <c r="E53" s="11" t="s">
        <v>443</v>
      </c>
      <c r="F53" s="12" t="s">
        <v>326</v>
      </c>
      <c r="G53" s="13" t="s">
        <v>387</v>
      </c>
      <c r="H53" s="14">
        <f>IF(G53="","",VLOOKUP(G53,'Maturity Definitions'!$B$4:$D$8,3,FALSE))</f>
        <v>3</v>
      </c>
      <c r="I53" s="13"/>
      <c r="J53" s="12" t="s">
        <v>510</v>
      </c>
      <c r="K53" s="15">
        <f>IF(J53="","",VLOOKUP(J53,'Maturity Definitions'!$B$4:$D$8,3,FALSE))</f>
        <v>4</v>
      </c>
      <c r="L53" s="13"/>
    </row>
    <row r="54" spans="1:12" ht="409.5" x14ac:dyDescent="0.45">
      <c r="A54" s="11" t="s">
        <v>5</v>
      </c>
      <c r="B54" s="11" t="s">
        <v>18</v>
      </c>
      <c r="C54" s="11" t="s">
        <v>164</v>
      </c>
      <c r="D54" s="12" t="s">
        <v>165</v>
      </c>
      <c r="E54" s="11" t="s">
        <v>444</v>
      </c>
      <c r="F54" s="12" t="s">
        <v>327</v>
      </c>
      <c r="G54" s="13" t="s">
        <v>387</v>
      </c>
      <c r="H54" s="14">
        <f>IF(G54="","",VLOOKUP(G54,'Maturity Definitions'!$B$4:$D$8,3,FALSE))</f>
        <v>3</v>
      </c>
      <c r="I54" s="13"/>
      <c r="J54" s="12" t="s">
        <v>510</v>
      </c>
      <c r="K54" s="15">
        <f>IF(J54="","",VLOOKUP(J54,'Maturity Definitions'!$B$4:$D$8,3,FALSE))</f>
        <v>4</v>
      </c>
      <c r="L54" s="13"/>
    </row>
    <row r="55" spans="1:12" ht="409.5" x14ac:dyDescent="0.45">
      <c r="A55" s="11" t="s">
        <v>6</v>
      </c>
      <c r="B55" s="11" t="s">
        <v>19</v>
      </c>
      <c r="C55" s="11" t="s">
        <v>166</v>
      </c>
      <c r="D55" s="12" t="s">
        <v>167</v>
      </c>
      <c r="E55" s="11" t="s">
        <v>445</v>
      </c>
      <c r="F55" s="12" t="s">
        <v>328</v>
      </c>
      <c r="G55" s="13" t="s">
        <v>387</v>
      </c>
      <c r="H55" s="14">
        <f>IF(G55="","",VLOOKUP(G55,'Maturity Definitions'!$B$4:$D$8,3,FALSE))</f>
        <v>3</v>
      </c>
      <c r="I55" s="13"/>
      <c r="J55" s="12" t="s">
        <v>510</v>
      </c>
      <c r="K55" s="15">
        <f>IF(J55="","",VLOOKUP(J55,'Maturity Definitions'!$B$4:$D$8,3,FALSE))</f>
        <v>4</v>
      </c>
      <c r="L55" s="13"/>
    </row>
    <row r="56" spans="1:12" ht="160" x14ac:dyDescent="0.45">
      <c r="A56" s="11" t="s">
        <v>6</v>
      </c>
      <c r="B56" s="11" t="s">
        <v>19</v>
      </c>
      <c r="C56" s="11" t="s">
        <v>168</v>
      </c>
      <c r="D56" s="12" t="s">
        <v>169</v>
      </c>
      <c r="E56" s="11" t="s">
        <v>446</v>
      </c>
      <c r="F56" s="12" t="s">
        <v>329</v>
      </c>
      <c r="G56" s="13" t="s">
        <v>387</v>
      </c>
      <c r="H56" s="14">
        <f>IF(G56="","",VLOOKUP(G56,'Maturity Definitions'!$B$4:$D$8,3,FALSE))</f>
        <v>3</v>
      </c>
      <c r="I56" s="13"/>
      <c r="J56" s="12" t="s">
        <v>510</v>
      </c>
      <c r="K56" s="15">
        <f>IF(J56="","",VLOOKUP(J56,'Maturity Definitions'!$B$4:$D$8,3,FALSE))</f>
        <v>4</v>
      </c>
      <c r="L56" s="13"/>
    </row>
    <row r="57" spans="1:12" ht="409.5" x14ac:dyDescent="0.45">
      <c r="A57" s="11" t="s">
        <v>6</v>
      </c>
      <c r="B57" s="11" t="s">
        <v>19</v>
      </c>
      <c r="C57" s="11" t="s">
        <v>170</v>
      </c>
      <c r="D57" s="12" t="s">
        <v>171</v>
      </c>
      <c r="E57" s="11" t="s">
        <v>447</v>
      </c>
      <c r="F57" s="12" t="s">
        <v>330</v>
      </c>
      <c r="G57" s="13" t="s">
        <v>387</v>
      </c>
      <c r="H57" s="14">
        <f>IF(G57="","",VLOOKUP(G57,'Maturity Definitions'!$B$4:$D$8,3,FALSE))</f>
        <v>3</v>
      </c>
      <c r="I57" s="13"/>
      <c r="J57" s="12" t="s">
        <v>510</v>
      </c>
      <c r="K57" s="15">
        <f>IF(J57="","",VLOOKUP(J57,'Maturity Definitions'!$B$4:$D$8,3,FALSE))</f>
        <v>4</v>
      </c>
      <c r="L57" s="13"/>
    </row>
    <row r="58" spans="1:12" ht="128" x14ac:dyDescent="0.45">
      <c r="A58" s="11" t="s">
        <v>6</v>
      </c>
      <c r="B58" s="11" t="s">
        <v>19</v>
      </c>
      <c r="C58" s="11" t="s">
        <v>172</v>
      </c>
      <c r="D58" s="12" t="s">
        <v>173</v>
      </c>
      <c r="E58" s="11" t="s">
        <v>448</v>
      </c>
      <c r="F58" s="12" t="s">
        <v>331</v>
      </c>
      <c r="G58" s="13" t="s">
        <v>387</v>
      </c>
      <c r="H58" s="14">
        <f>IF(G58="","",VLOOKUP(G58,'Maturity Definitions'!$B$4:$D$8,3,FALSE))</f>
        <v>3</v>
      </c>
      <c r="I58" s="13"/>
      <c r="J58" s="12" t="s">
        <v>510</v>
      </c>
      <c r="K58" s="15">
        <f>IF(J58="","",VLOOKUP(J58,'Maturity Definitions'!$B$4:$D$8,3,FALSE))</f>
        <v>4</v>
      </c>
      <c r="L58" s="13"/>
    </row>
    <row r="59" spans="1:12" ht="409.5" x14ac:dyDescent="0.45">
      <c r="A59" s="11" t="s">
        <v>6</v>
      </c>
      <c r="B59" s="11" t="s">
        <v>19</v>
      </c>
      <c r="C59" s="11" t="s">
        <v>174</v>
      </c>
      <c r="D59" s="12" t="s">
        <v>175</v>
      </c>
      <c r="E59" s="11" t="s">
        <v>449</v>
      </c>
      <c r="F59" s="12" t="s">
        <v>332</v>
      </c>
      <c r="G59" s="13" t="s">
        <v>387</v>
      </c>
      <c r="H59" s="14">
        <f>IF(G59="","",VLOOKUP(G59,'Maturity Definitions'!$B$4:$D$8,3,FALSE))</f>
        <v>3</v>
      </c>
      <c r="I59" s="13"/>
      <c r="J59" s="12" t="s">
        <v>510</v>
      </c>
      <c r="K59" s="15">
        <f>IF(J59="","",VLOOKUP(J59,'Maturity Definitions'!$B$4:$D$8,3,FALSE))</f>
        <v>4</v>
      </c>
      <c r="L59" s="13"/>
    </row>
    <row r="60" spans="1:12" ht="409.5" x14ac:dyDescent="0.45">
      <c r="A60" s="11" t="s">
        <v>6</v>
      </c>
      <c r="B60" s="11" t="s">
        <v>19</v>
      </c>
      <c r="C60" s="11" t="s">
        <v>176</v>
      </c>
      <c r="D60" s="12" t="s">
        <v>177</v>
      </c>
      <c r="E60" s="11" t="s">
        <v>450</v>
      </c>
      <c r="F60" s="12" t="s">
        <v>333</v>
      </c>
      <c r="G60" s="13" t="s">
        <v>387</v>
      </c>
      <c r="H60" s="14">
        <f>IF(G60="","",VLOOKUP(G60,'Maturity Definitions'!$B$4:$D$8,3,FALSE))</f>
        <v>3</v>
      </c>
      <c r="I60" s="13"/>
      <c r="J60" s="12" t="s">
        <v>510</v>
      </c>
      <c r="K60" s="15">
        <f>IF(J60="","",VLOOKUP(J60,'Maturity Definitions'!$B$4:$D$8,3,FALSE))</f>
        <v>4</v>
      </c>
      <c r="L60" s="13"/>
    </row>
    <row r="61" spans="1:12" ht="352" x14ac:dyDescent="0.45">
      <c r="A61" s="11" t="s">
        <v>6</v>
      </c>
      <c r="B61" s="11" t="s">
        <v>20</v>
      </c>
      <c r="C61" s="11" t="s">
        <v>178</v>
      </c>
      <c r="D61" s="12" t="s">
        <v>179</v>
      </c>
      <c r="E61" s="11" t="s">
        <v>451</v>
      </c>
      <c r="F61" s="12" t="s">
        <v>334</v>
      </c>
      <c r="G61" s="13" t="s">
        <v>387</v>
      </c>
      <c r="H61" s="14">
        <f>IF(G61="","",VLOOKUP(G61,'Maturity Definitions'!$B$4:$D$8,3,FALSE))</f>
        <v>3</v>
      </c>
      <c r="I61" s="13"/>
      <c r="J61" s="12" t="s">
        <v>510</v>
      </c>
      <c r="K61" s="15">
        <f>IF(J61="","",VLOOKUP(J61,'Maturity Definitions'!$B$4:$D$8,3,FALSE))</f>
        <v>4</v>
      </c>
      <c r="L61" s="13"/>
    </row>
    <row r="62" spans="1:12" ht="400" x14ac:dyDescent="0.45">
      <c r="A62" s="11" t="s">
        <v>6</v>
      </c>
      <c r="B62" s="11" t="s">
        <v>20</v>
      </c>
      <c r="C62" s="11" t="s">
        <v>180</v>
      </c>
      <c r="D62" s="12" t="s">
        <v>181</v>
      </c>
      <c r="E62" s="11" t="s">
        <v>452</v>
      </c>
      <c r="F62" s="12" t="s">
        <v>335</v>
      </c>
      <c r="G62" s="13" t="s">
        <v>387</v>
      </c>
      <c r="H62" s="14">
        <f>IF(G62="","",VLOOKUP(G62,'Maturity Definitions'!$B$4:$D$8,3,FALSE))</f>
        <v>3</v>
      </c>
      <c r="I62" s="13"/>
      <c r="J62" s="12" t="s">
        <v>510</v>
      </c>
      <c r="K62" s="15">
        <f>IF(J62="","",VLOOKUP(J62,'Maturity Definitions'!$B$4:$D$8,3,FALSE))</f>
        <v>4</v>
      </c>
      <c r="L62" s="13"/>
    </row>
    <row r="63" spans="1:12" ht="409.5" x14ac:dyDescent="0.45">
      <c r="A63" s="11" t="s">
        <v>6</v>
      </c>
      <c r="B63" s="11" t="s">
        <v>21</v>
      </c>
      <c r="C63" s="11" t="s">
        <v>182</v>
      </c>
      <c r="D63" s="12" t="s">
        <v>183</v>
      </c>
      <c r="E63" s="11" t="s">
        <v>453</v>
      </c>
      <c r="F63" s="12" t="s">
        <v>336</v>
      </c>
      <c r="G63" s="13" t="s">
        <v>387</v>
      </c>
      <c r="H63" s="14">
        <f>IF(G63="","",VLOOKUP(G63,'Maturity Definitions'!$B$4:$D$8,3,FALSE))</f>
        <v>3</v>
      </c>
      <c r="I63" s="13"/>
      <c r="J63" s="12" t="s">
        <v>510</v>
      </c>
      <c r="K63" s="15">
        <f>IF(J63="","",VLOOKUP(J63,'Maturity Definitions'!$B$4:$D$8,3,FALSE))</f>
        <v>4</v>
      </c>
      <c r="L63" s="13"/>
    </row>
    <row r="64" spans="1:12" ht="409.5" x14ac:dyDescent="0.45">
      <c r="A64" s="11" t="s">
        <v>6</v>
      </c>
      <c r="B64" s="11" t="s">
        <v>21</v>
      </c>
      <c r="C64" s="11" t="s">
        <v>184</v>
      </c>
      <c r="D64" s="12" t="s">
        <v>185</v>
      </c>
      <c r="E64" s="11" t="s">
        <v>454</v>
      </c>
      <c r="F64" s="12" t="s">
        <v>337</v>
      </c>
      <c r="G64" s="13" t="s">
        <v>387</v>
      </c>
      <c r="H64" s="14">
        <f>IF(G64="","",VLOOKUP(G64,'Maturity Definitions'!$B$4:$D$8,3,FALSE))</f>
        <v>3</v>
      </c>
      <c r="I64" s="13"/>
      <c r="J64" s="12" t="s">
        <v>510</v>
      </c>
      <c r="K64" s="15">
        <f>IF(J64="","",VLOOKUP(J64,'Maturity Definitions'!$B$4:$D$8,3,FALSE))</f>
        <v>4</v>
      </c>
      <c r="L64" s="13"/>
    </row>
    <row r="65" spans="1:12" ht="409.5" x14ac:dyDescent="0.45">
      <c r="A65" s="11" t="s">
        <v>6</v>
      </c>
      <c r="B65" s="11" t="s">
        <v>21</v>
      </c>
      <c r="C65" s="11" t="s">
        <v>186</v>
      </c>
      <c r="D65" s="12" t="s">
        <v>187</v>
      </c>
      <c r="E65" s="11" t="s">
        <v>455</v>
      </c>
      <c r="F65" s="12" t="s">
        <v>338</v>
      </c>
      <c r="G65" s="13" t="s">
        <v>387</v>
      </c>
      <c r="H65" s="14">
        <f>IF(G65="","",VLOOKUP(G65,'Maturity Definitions'!$B$4:$D$8,3,FALSE))</f>
        <v>3</v>
      </c>
      <c r="I65" s="13"/>
      <c r="J65" s="12" t="s">
        <v>510</v>
      </c>
      <c r="K65" s="15">
        <f>IF(J65="","",VLOOKUP(J65,'Maturity Definitions'!$B$4:$D$8,3,FALSE))</f>
        <v>4</v>
      </c>
      <c r="L65" s="13"/>
    </row>
    <row r="66" spans="1:12" ht="240" x14ac:dyDescent="0.45">
      <c r="A66" s="11" t="s">
        <v>6</v>
      </c>
      <c r="B66" s="11" t="s">
        <v>21</v>
      </c>
      <c r="C66" s="11" t="s">
        <v>188</v>
      </c>
      <c r="D66" s="12" t="s">
        <v>189</v>
      </c>
      <c r="E66" s="11" t="s">
        <v>456</v>
      </c>
      <c r="F66" s="12" t="s">
        <v>339</v>
      </c>
      <c r="G66" s="13" t="s">
        <v>387</v>
      </c>
      <c r="H66" s="14">
        <f>IF(G66="","",VLOOKUP(G66,'Maturity Definitions'!$B$4:$D$8,3,FALSE))</f>
        <v>3</v>
      </c>
      <c r="I66" s="13"/>
      <c r="J66" s="12" t="s">
        <v>510</v>
      </c>
      <c r="K66" s="15">
        <f>IF(J66="","",VLOOKUP(J66,'Maturity Definitions'!$B$4:$D$8,3,FALSE))</f>
        <v>4</v>
      </c>
      <c r="L66" s="13"/>
    </row>
    <row r="67" spans="1:12" ht="409.5" x14ac:dyDescent="0.45">
      <c r="A67" s="11" t="s">
        <v>6</v>
      </c>
      <c r="B67" s="11" t="s">
        <v>22</v>
      </c>
      <c r="C67" s="11" t="s">
        <v>190</v>
      </c>
      <c r="D67" s="12" t="s">
        <v>191</v>
      </c>
      <c r="E67" s="11" t="s">
        <v>457</v>
      </c>
      <c r="F67" s="12" t="s">
        <v>340</v>
      </c>
      <c r="G67" s="13" t="s">
        <v>387</v>
      </c>
      <c r="H67" s="14">
        <f>IF(G67="","",VLOOKUP(G67,'Maturity Definitions'!$B$4:$D$8,3,FALSE))</f>
        <v>3</v>
      </c>
      <c r="I67" s="13"/>
      <c r="J67" s="12" t="s">
        <v>510</v>
      </c>
      <c r="K67" s="15">
        <f>IF(J67="","",VLOOKUP(J67,'Maturity Definitions'!$B$4:$D$8,3,FALSE))</f>
        <v>4</v>
      </c>
      <c r="L67" s="13"/>
    </row>
    <row r="68" spans="1:12" ht="409.5" x14ac:dyDescent="0.45">
      <c r="A68" s="11" t="s">
        <v>6</v>
      </c>
      <c r="B68" s="11" t="s">
        <v>22</v>
      </c>
      <c r="C68" s="11" t="s">
        <v>192</v>
      </c>
      <c r="D68" s="12" t="s">
        <v>193</v>
      </c>
      <c r="E68" s="11" t="s">
        <v>458</v>
      </c>
      <c r="F68" s="12" t="s">
        <v>341</v>
      </c>
      <c r="G68" s="13" t="s">
        <v>387</v>
      </c>
      <c r="H68" s="14">
        <f>IF(G68="","",VLOOKUP(G68,'Maturity Definitions'!$B$4:$D$8,3,FALSE))</f>
        <v>3</v>
      </c>
      <c r="I68" s="13"/>
      <c r="J68" s="12" t="s">
        <v>510</v>
      </c>
      <c r="K68" s="15">
        <f>IF(J68="","",VLOOKUP(J68,'Maturity Definitions'!$B$4:$D$8,3,FALSE))</f>
        <v>4</v>
      </c>
      <c r="L68" s="13"/>
    </row>
    <row r="69" spans="1:12" ht="272" x14ac:dyDescent="0.45">
      <c r="A69" s="11" t="s">
        <v>6</v>
      </c>
      <c r="B69" s="11" t="s">
        <v>22</v>
      </c>
      <c r="C69" s="11" t="s">
        <v>194</v>
      </c>
      <c r="D69" s="12" t="s">
        <v>195</v>
      </c>
      <c r="E69" s="11" t="s">
        <v>459</v>
      </c>
      <c r="F69" s="12" t="s">
        <v>342</v>
      </c>
      <c r="G69" s="13" t="s">
        <v>387</v>
      </c>
      <c r="H69" s="14">
        <f>IF(G69="","",VLOOKUP(G69,'Maturity Definitions'!$B$4:$D$8,3,FALSE))</f>
        <v>3</v>
      </c>
      <c r="I69" s="13"/>
      <c r="J69" s="12" t="s">
        <v>510</v>
      </c>
      <c r="K69" s="15">
        <f>IF(J69="","",VLOOKUP(J69,'Maturity Definitions'!$B$4:$D$8,3,FALSE))</f>
        <v>4</v>
      </c>
      <c r="L69" s="13"/>
    </row>
    <row r="70" spans="1:12" ht="400" x14ac:dyDescent="0.45">
      <c r="A70" s="11" t="s">
        <v>6</v>
      </c>
      <c r="B70" s="11" t="s">
        <v>22</v>
      </c>
      <c r="C70" s="11" t="s">
        <v>196</v>
      </c>
      <c r="D70" s="12" t="s">
        <v>197</v>
      </c>
      <c r="E70" s="11" t="s">
        <v>460</v>
      </c>
      <c r="F70" s="12" t="s">
        <v>343</v>
      </c>
      <c r="G70" s="13" t="s">
        <v>387</v>
      </c>
      <c r="H70" s="14">
        <f>IF(G70="","",VLOOKUP(G70,'Maturity Definitions'!$B$4:$D$8,3,FALSE))</f>
        <v>3</v>
      </c>
      <c r="I70" s="13"/>
      <c r="J70" s="12" t="s">
        <v>510</v>
      </c>
      <c r="K70" s="15">
        <f>IF(J70="","",VLOOKUP(J70,'Maturity Definitions'!$B$4:$D$8,3,FALSE))</f>
        <v>4</v>
      </c>
      <c r="L70" s="13"/>
    </row>
    <row r="71" spans="1:12" ht="192" x14ac:dyDescent="0.45">
      <c r="A71" s="11" t="s">
        <v>6</v>
      </c>
      <c r="B71" s="11" t="s">
        <v>22</v>
      </c>
      <c r="C71" s="11" t="s">
        <v>198</v>
      </c>
      <c r="D71" s="12" t="s">
        <v>199</v>
      </c>
      <c r="E71" s="11" t="s">
        <v>461</v>
      </c>
      <c r="F71" s="12" t="s">
        <v>344</v>
      </c>
      <c r="G71" s="13" t="s">
        <v>387</v>
      </c>
      <c r="H71" s="14">
        <f>IF(G71="","",VLOOKUP(G71,'Maturity Definitions'!$B$4:$D$8,3,FALSE))</f>
        <v>3</v>
      </c>
      <c r="I71" s="13"/>
      <c r="J71" s="12" t="s">
        <v>510</v>
      </c>
      <c r="K71" s="15">
        <f>IF(J71="","",VLOOKUP(J71,'Maturity Definitions'!$B$4:$D$8,3,FALSE))</f>
        <v>4</v>
      </c>
      <c r="L71" s="13"/>
    </row>
    <row r="72" spans="1:12" ht="384" x14ac:dyDescent="0.45">
      <c r="A72" s="11" t="s">
        <v>6</v>
      </c>
      <c r="B72" s="11" t="s">
        <v>22</v>
      </c>
      <c r="C72" s="11" t="s">
        <v>200</v>
      </c>
      <c r="D72" s="12" t="s">
        <v>201</v>
      </c>
      <c r="E72" s="11" t="s">
        <v>462</v>
      </c>
      <c r="F72" s="12" t="s">
        <v>345</v>
      </c>
      <c r="G72" s="13" t="s">
        <v>387</v>
      </c>
      <c r="H72" s="14">
        <f>IF(G72="","",VLOOKUP(G72,'Maturity Definitions'!$B$4:$D$8,3,FALSE))</f>
        <v>3</v>
      </c>
      <c r="I72" s="13"/>
      <c r="J72" s="12" t="s">
        <v>510</v>
      </c>
      <c r="K72" s="15">
        <f>IF(J72="","",VLOOKUP(J72,'Maturity Definitions'!$B$4:$D$8,3,FALSE))</f>
        <v>4</v>
      </c>
      <c r="L72" s="13"/>
    </row>
    <row r="73" spans="1:12" ht="409.5" x14ac:dyDescent="0.45">
      <c r="A73" s="11" t="s">
        <v>6</v>
      </c>
      <c r="B73" s="11" t="s">
        <v>23</v>
      </c>
      <c r="C73" s="11" t="s">
        <v>202</v>
      </c>
      <c r="D73" s="12" t="s">
        <v>203</v>
      </c>
      <c r="E73" s="11" t="s">
        <v>463</v>
      </c>
      <c r="F73" s="12" t="s">
        <v>346</v>
      </c>
      <c r="G73" s="13" t="s">
        <v>387</v>
      </c>
      <c r="H73" s="14">
        <f>IF(G73="","",VLOOKUP(G73,'Maturity Definitions'!$B$4:$D$8,3,FALSE))</f>
        <v>3</v>
      </c>
      <c r="I73" s="13"/>
      <c r="J73" s="12" t="s">
        <v>510</v>
      </c>
      <c r="K73" s="15">
        <f>IF(J73="","",VLOOKUP(J73,'Maturity Definitions'!$B$4:$D$8,3,FALSE))</f>
        <v>4</v>
      </c>
      <c r="L73" s="13"/>
    </row>
    <row r="74" spans="1:12" ht="272" x14ac:dyDescent="0.45">
      <c r="A74" s="11" t="s">
        <v>6</v>
      </c>
      <c r="B74" s="11" t="s">
        <v>23</v>
      </c>
      <c r="C74" s="11" t="s">
        <v>204</v>
      </c>
      <c r="D74" s="12" t="s">
        <v>205</v>
      </c>
      <c r="E74" s="11" t="s">
        <v>464</v>
      </c>
      <c r="F74" s="12" t="s">
        <v>347</v>
      </c>
      <c r="G74" s="13" t="s">
        <v>387</v>
      </c>
      <c r="H74" s="14">
        <f>IF(G74="","",VLOOKUP(G74,'Maturity Definitions'!$B$4:$D$8,3,FALSE))</f>
        <v>3</v>
      </c>
      <c r="I74" s="13"/>
      <c r="J74" s="12" t="s">
        <v>510</v>
      </c>
      <c r="K74" s="15">
        <f>IF(J74="","",VLOOKUP(J74,'Maturity Definitions'!$B$4:$D$8,3,FALSE))</f>
        <v>4</v>
      </c>
      <c r="L74" s="13"/>
    </row>
    <row r="75" spans="1:12" ht="192" x14ac:dyDescent="0.45">
      <c r="A75" s="11" t="s">
        <v>6</v>
      </c>
      <c r="B75" s="11" t="s">
        <v>23</v>
      </c>
      <c r="C75" s="11" t="s">
        <v>206</v>
      </c>
      <c r="D75" s="12" t="s">
        <v>207</v>
      </c>
      <c r="E75" s="11" t="s">
        <v>465</v>
      </c>
      <c r="F75" s="12" t="s">
        <v>348</v>
      </c>
      <c r="G75" s="13" t="s">
        <v>387</v>
      </c>
      <c r="H75" s="14">
        <f>IF(G75="","",VLOOKUP(G75,'Maturity Definitions'!$B$4:$D$8,3,FALSE))</f>
        <v>3</v>
      </c>
      <c r="I75" s="13"/>
      <c r="J75" s="12" t="s">
        <v>510</v>
      </c>
      <c r="K75" s="15">
        <f>IF(J75="","",VLOOKUP(J75,'Maturity Definitions'!$B$4:$D$8,3,FALSE))</f>
        <v>4</v>
      </c>
      <c r="L75" s="13"/>
    </row>
    <row r="76" spans="1:12" ht="160" x14ac:dyDescent="0.45">
      <c r="A76" s="11" t="s">
        <v>6</v>
      </c>
      <c r="B76" s="11" t="s">
        <v>23</v>
      </c>
      <c r="C76" s="11" t="s">
        <v>208</v>
      </c>
      <c r="D76" s="12" t="s">
        <v>209</v>
      </c>
      <c r="E76" s="11" t="s">
        <v>466</v>
      </c>
      <c r="F76" s="12" t="s">
        <v>349</v>
      </c>
      <c r="G76" s="13" t="s">
        <v>387</v>
      </c>
      <c r="H76" s="14">
        <f>IF(G76="","",VLOOKUP(G76,'Maturity Definitions'!$B$4:$D$8,3,FALSE))</f>
        <v>3</v>
      </c>
      <c r="I76" s="13"/>
      <c r="J76" s="12" t="s">
        <v>510</v>
      </c>
      <c r="K76" s="15">
        <f>IF(J76="","",VLOOKUP(J76,'Maturity Definitions'!$B$4:$D$8,3,FALSE))</f>
        <v>4</v>
      </c>
      <c r="L76" s="13"/>
    </row>
    <row r="77" spans="1:12" ht="409.5" x14ac:dyDescent="0.45">
      <c r="A77" s="11" t="s">
        <v>7</v>
      </c>
      <c r="B77" s="11" t="s">
        <v>24</v>
      </c>
      <c r="C77" s="11" t="s">
        <v>210</v>
      </c>
      <c r="D77" s="12" t="s">
        <v>211</v>
      </c>
      <c r="E77" s="11" t="s">
        <v>467</v>
      </c>
      <c r="F77" s="12" t="s">
        <v>350</v>
      </c>
      <c r="G77" s="13" t="s">
        <v>387</v>
      </c>
      <c r="H77" s="14">
        <f>IF(G77="","",VLOOKUP(G77,'Maturity Definitions'!$B$4:$D$8,3,FALSE))</f>
        <v>3</v>
      </c>
      <c r="I77" s="13"/>
      <c r="J77" s="12" t="s">
        <v>510</v>
      </c>
      <c r="K77" s="15">
        <f>IF(J77="","",VLOOKUP(J77,'Maturity Definitions'!$B$4:$D$8,3,FALSE))</f>
        <v>4</v>
      </c>
      <c r="L77" s="13"/>
    </row>
    <row r="78" spans="1:12" ht="256" x14ac:dyDescent="0.45">
      <c r="A78" s="11" t="s">
        <v>7</v>
      </c>
      <c r="B78" s="11" t="s">
        <v>24</v>
      </c>
      <c r="C78" s="11" t="s">
        <v>212</v>
      </c>
      <c r="D78" s="12" t="s">
        <v>213</v>
      </c>
      <c r="E78" s="11" t="s">
        <v>468</v>
      </c>
      <c r="F78" s="12" t="s">
        <v>351</v>
      </c>
      <c r="G78" s="13" t="s">
        <v>387</v>
      </c>
      <c r="H78" s="14">
        <f>IF(G78="","",VLOOKUP(G78,'Maturity Definitions'!$B$4:$D$8,3,FALSE))</f>
        <v>3</v>
      </c>
      <c r="I78" s="13"/>
      <c r="J78" s="12" t="s">
        <v>510</v>
      </c>
      <c r="K78" s="15">
        <f>IF(J78="","",VLOOKUP(J78,'Maturity Definitions'!$B$4:$D$8,3,FALSE))</f>
        <v>4</v>
      </c>
      <c r="L78" s="13"/>
    </row>
    <row r="79" spans="1:12" ht="288" x14ac:dyDescent="0.45">
      <c r="A79" s="11" t="s">
        <v>7</v>
      </c>
      <c r="B79" s="11" t="s">
        <v>24</v>
      </c>
      <c r="C79" s="11" t="s">
        <v>214</v>
      </c>
      <c r="D79" s="12" t="s">
        <v>215</v>
      </c>
      <c r="E79" s="11" t="s">
        <v>469</v>
      </c>
      <c r="F79" s="12" t="s">
        <v>352</v>
      </c>
      <c r="G79" s="13" t="s">
        <v>387</v>
      </c>
      <c r="H79" s="14">
        <f>IF(G79="","",VLOOKUP(G79,'Maturity Definitions'!$B$4:$D$8,3,FALSE))</f>
        <v>3</v>
      </c>
      <c r="I79" s="13"/>
      <c r="J79" s="12" t="s">
        <v>510</v>
      </c>
      <c r="K79" s="15">
        <f>IF(J79="","",VLOOKUP(J79,'Maturity Definitions'!$B$4:$D$8,3,FALSE))</f>
        <v>4</v>
      </c>
      <c r="L79" s="13"/>
    </row>
    <row r="80" spans="1:12" ht="272" x14ac:dyDescent="0.45">
      <c r="A80" s="11" t="s">
        <v>7</v>
      </c>
      <c r="B80" s="11" t="s">
        <v>24</v>
      </c>
      <c r="C80" s="11" t="s">
        <v>216</v>
      </c>
      <c r="D80" s="12" t="s">
        <v>217</v>
      </c>
      <c r="E80" s="11" t="s">
        <v>470</v>
      </c>
      <c r="F80" s="12" t="s">
        <v>353</v>
      </c>
      <c r="G80" s="13" t="s">
        <v>387</v>
      </c>
      <c r="H80" s="14">
        <f>IF(G80="","",VLOOKUP(G80,'Maturity Definitions'!$B$4:$D$8,3,FALSE))</f>
        <v>3</v>
      </c>
      <c r="I80" s="13"/>
      <c r="J80" s="12" t="s">
        <v>510</v>
      </c>
      <c r="K80" s="15">
        <f>IF(J80="","",VLOOKUP(J80,'Maturity Definitions'!$B$4:$D$8,3,FALSE))</f>
        <v>4</v>
      </c>
      <c r="L80" s="13"/>
    </row>
    <row r="81" spans="1:12" ht="409.5" x14ac:dyDescent="0.45">
      <c r="A81" s="11" t="s">
        <v>7</v>
      </c>
      <c r="B81" s="11" t="s">
        <v>24</v>
      </c>
      <c r="C81" s="11" t="s">
        <v>218</v>
      </c>
      <c r="D81" s="12" t="s">
        <v>219</v>
      </c>
      <c r="E81" s="11" t="s">
        <v>471</v>
      </c>
      <c r="F81" s="12" t="s">
        <v>354</v>
      </c>
      <c r="G81" s="13" t="s">
        <v>387</v>
      </c>
      <c r="H81" s="14">
        <f>IF(G81="","",VLOOKUP(G81,'Maturity Definitions'!$B$4:$D$8,3,FALSE))</f>
        <v>3</v>
      </c>
      <c r="I81" s="13"/>
      <c r="J81" s="12" t="s">
        <v>510</v>
      </c>
      <c r="K81" s="15">
        <f>IF(J81="","",VLOOKUP(J81,'Maturity Definitions'!$B$4:$D$8,3,FALSE))</f>
        <v>4</v>
      </c>
      <c r="L81" s="13"/>
    </row>
    <row r="82" spans="1:12" ht="224" x14ac:dyDescent="0.45">
      <c r="A82" s="11" t="s">
        <v>7</v>
      </c>
      <c r="B82" s="11" t="s">
        <v>25</v>
      </c>
      <c r="C82" s="11" t="s">
        <v>220</v>
      </c>
      <c r="D82" s="12" t="s">
        <v>221</v>
      </c>
      <c r="E82" s="11" t="s">
        <v>472</v>
      </c>
      <c r="F82" s="12" t="s">
        <v>355</v>
      </c>
      <c r="G82" s="13" t="s">
        <v>387</v>
      </c>
      <c r="H82" s="14">
        <f>IF(G82="","",VLOOKUP(G82,'Maturity Definitions'!$B$4:$D$8,3,FALSE))</f>
        <v>3</v>
      </c>
      <c r="I82" s="13"/>
      <c r="J82" s="12" t="s">
        <v>510</v>
      </c>
      <c r="K82" s="15">
        <f>IF(J82="","",VLOOKUP(J82,'Maturity Definitions'!$B$4:$D$8,3,FALSE))</f>
        <v>4</v>
      </c>
      <c r="L82" s="13"/>
    </row>
    <row r="83" spans="1:12" ht="224" x14ac:dyDescent="0.45">
      <c r="A83" s="11" t="s">
        <v>7</v>
      </c>
      <c r="B83" s="11" t="s">
        <v>25</v>
      </c>
      <c r="C83" s="11" t="s">
        <v>222</v>
      </c>
      <c r="D83" s="12" t="s">
        <v>223</v>
      </c>
      <c r="E83" s="11" t="s">
        <v>473</v>
      </c>
      <c r="F83" s="12" t="s">
        <v>356</v>
      </c>
      <c r="G83" s="13" t="s">
        <v>387</v>
      </c>
      <c r="H83" s="14">
        <f>IF(G83="","",VLOOKUP(G83,'Maturity Definitions'!$B$4:$D$8,3,FALSE))</f>
        <v>3</v>
      </c>
      <c r="I83" s="13"/>
      <c r="J83" s="12" t="s">
        <v>510</v>
      </c>
      <c r="K83" s="15">
        <f>IF(J83="","",VLOOKUP(J83,'Maturity Definitions'!$B$4:$D$8,3,FALSE))</f>
        <v>4</v>
      </c>
      <c r="L83" s="13"/>
    </row>
    <row r="84" spans="1:12" ht="176" x14ac:dyDescent="0.45">
      <c r="A84" s="11" t="s">
        <v>7</v>
      </c>
      <c r="B84" s="11" t="s">
        <v>25</v>
      </c>
      <c r="C84" s="11" t="s">
        <v>224</v>
      </c>
      <c r="D84" s="12" t="s">
        <v>225</v>
      </c>
      <c r="E84" s="11" t="s">
        <v>474</v>
      </c>
      <c r="F84" s="12" t="s">
        <v>357</v>
      </c>
      <c r="G84" s="13" t="s">
        <v>387</v>
      </c>
      <c r="H84" s="14">
        <f>IF(G84="","",VLOOKUP(G84,'Maturity Definitions'!$B$4:$D$8,3,FALSE))</f>
        <v>3</v>
      </c>
      <c r="I84" s="13"/>
      <c r="J84" s="12" t="s">
        <v>510</v>
      </c>
      <c r="K84" s="15">
        <f>IF(J84="","",VLOOKUP(J84,'Maturity Definitions'!$B$4:$D$8,3,FALSE))</f>
        <v>4</v>
      </c>
      <c r="L84" s="13"/>
    </row>
    <row r="85" spans="1:12" ht="224" x14ac:dyDescent="0.45">
      <c r="A85" s="11" t="s">
        <v>7</v>
      </c>
      <c r="B85" s="11" t="s">
        <v>25</v>
      </c>
      <c r="C85" s="11" t="s">
        <v>226</v>
      </c>
      <c r="D85" s="12" t="s">
        <v>227</v>
      </c>
      <c r="E85" s="11" t="s">
        <v>475</v>
      </c>
      <c r="F85" s="12" t="s">
        <v>358</v>
      </c>
      <c r="G85" s="13" t="s">
        <v>387</v>
      </c>
      <c r="H85" s="14">
        <f>IF(G85="","",VLOOKUP(G85,'Maturity Definitions'!$B$4:$D$8,3,FALSE))</f>
        <v>3</v>
      </c>
      <c r="I85" s="13"/>
      <c r="J85" s="12" t="s">
        <v>510</v>
      </c>
      <c r="K85" s="15">
        <f>IF(J85="","",VLOOKUP(J85,'Maturity Definitions'!$B$4:$D$8,3,FALSE))</f>
        <v>4</v>
      </c>
      <c r="L85" s="13"/>
    </row>
    <row r="86" spans="1:12" ht="160" x14ac:dyDescent="0.45">
      <c r="A86" s="11" t="s">
        <v>7</v>
      </c>
      <c r="B86" s="11" t="s">
        <v>25</v>
      </c>
      <c r="C86" s="11" t="s">
        <v>228</v>
      </c>
      <c r="D86" s="12" t="s">
        <v>229</v>
      </c>
      <c r="E86" s="11" t="s">
        <v>476</v>
      </c>
      <c r="F86" s="12" t="s">
        <v>359</v>
      </c>
      <c r="G86" s="13" t="s">
        <v>387</v>
      </c>
      <c r="H86" s="14">
        <f>IF(G86="","",VLOOKUP(G86,'Maturity Definitions'!$B$4:$D$8,3,FALSE))</f>
        <v>3</v>
      </c>
      <c r="I86" s="13"/>
      <c r="J86" s="12" t="s">
        <v>510</v>
      </c>
      <c r="K86" s="15">
        <f>IF(J86="","",VLOOKUP(J86,'Maturity Definitions'!$B$4:$D$8,3,FALSE))</f>
        <v>4</v>
      </c>
      <c r="L86" s="13"/>
    </row>
    <row r="87" spans="1:12" ht="160" x14ac:dyDescent="0.45">
      <c r="A87" s="11" t="s">
        <v>7</v>
      </c>
      <c r="B87" s="11" t="s">
        <v>25</v>
      </c>
      <c r="C87" s="11" t="s">
        <v>230</v>
      </c>
      <c r="D87" s="12" t="s">
        <v>231</v>
      </c>
      <c r="E87" s="11" t="s">
        <v>477</v>
      </c>
      <c r="F87" s="12" t="s">
        <v>360</v>
      </c>
      <c r="G87" s="13" t="s">
        <v>387</v>
      </c>
      <c r="H87" s="14">
        <f>IF(G87="","",VLOOKUP(G87,'Maturity Definitions'!$B$4:$D$8,3,FALSE))</f>
        <v>3</v>
      </c>
      <c r="I87" s="13"/>
      <c r="J87" s="12" t="s">
        <v>510</v>
      </c>
      <c r="K87" s="15">
        <f>IF(J87="","",VLOOKUP(J87,'Maturity Definitions'!$B$4:$D$8,3,FALSE))</f>
        <v>4</v>
      </c>
      <c r="L87" s="13"/>
    </row>
    <row r="88" spans="1:12" ht="240" x14ac:dyDescent="0.45">
      <c r="A88" s="11" t="s">
        <v>8</v>
      </c>
      <c r="B88" s="11" t="s">
        <v>26</v>
      </c>
      <c r="C88" s="11" t="s">
        <v>232</v>
      </c>
      <c r="D88" s="12" t="s">
        <v>233</v>
      </c>
      <c r="E88" s="11" t="s">
        <v>478</v>
      </c>
      <c r="F88" s="12" t="s">
        <v>361</v>
      </c>
      <c r="G88" s="13" t="s">
        <v>387</v>
      </c>
      <c r="H88" s="14">
        <f>IF(G88="","",VLOOKUP(G88,'Maturity Definitions'!$B$4:$D$8,3,FALSE))</f>
        <v>3</v>
      </c>
      <c r="I88" s="13"/>
      <c r="J88" s="12" t="s">
        <v>510</v>
      </c>
      <c r="K88" s="15">
        <f>IF(J88="","",VLOOKUP(J88,'Maturity Definitions'!$B$4:$D$8,3,FALSE))</f>
        <v>4</v>
      </c>
      <c r="L88" s="13"/>
    </row>
    <row r="89" spans="1:12" ht="128" x14ac:dyDescent="0.45">
      <c r="A89" s="11" t="s">
        <v>8</v>
      </c>
      <c r="B89" s="11" t="s">
        <v>26</v>
      </c>
      <c r="C89" s="11" t="s">
        <v>234</v>
      </c>
      <c r="D89" s="12" t="s">
        <v>235</v>
      </c>
      <c r="E89" s="11" t="s">
        <v>479</v>
      </c>
      <c r="F89" s="12" t="s">
        <v>362</v>
      </c>
      <c r="G89" s="13" t="s">
        <v>387</v>
      </c>
      <c r="H89" s="14">
        <f>IF(G89="","",VLOOKUP(G89,'Maturity Definitions'!$B$4:$D$8,3,FALSE))</f>
        <v>3</v>
      </c>
      <c r="I89" s="13"/>
      <c r="J89" s="12" t="s">
        <v>510</v>
      </c>
      <c r="K89" s="15">
        <f>IF(J89="","",VLOOKUP(J89,'Maturity Definitions'!$B$4:$D$8,3,FALSE))</f>
        <v>4</v>
      </c>
      <c r="L89" s="13"/>
    </row>
    <row r="90" spans="1:12" ht="144" x14ac:dyDescent="0.45">
      <c r="A90" s="11" t="s">
        <v>8</v>
      </c>
      <c r="B90" s="11" t="s">
        <v>26</v>
      </c>
      <c r="C90" s="11" t="s">
        <v>236</v>
      </c>
      <c r="D90" s="12" t="s">
        <v>237</v>
      </c>
      <c r="E90" s="11" t="s">
        <v>480</v>
      </c>
      <c r="F90" s="12" t="s">
        <v>363</v>
      </c>
      <c r="G90" s="13" t="s">
        <v>387</v>
      </c>
      <c r="H90" s="14">
        <f>IF(G90="","",VLOOKUP(G90,'Maturity Definitions'!$B$4:$D$8,3,FALSE))</f>
        <v>3</v>
      </c>
      <c r="I90" s="13"/>
      <c r="J90" s="12" t="s">
        <v>510</v>
      </c>
      <c r="K90" s="15">
        <f>IF(J90="","",VLOOKUP(J90,'Maturity Definitions'!$B$4:$D$8,3,FALSE))</f>
        <v>4</v>
      </c>
      <c r="L90" s="13"/>
    </row>
    <row r="91" spans="1:12" ht="144" x14ac:dyDescent="0.45">
      <c r="A91" s="11" t="s">
        <v>8</v>
      </c>
      <c r="B91" s="11" t="s">
        <v>26</v>
      </c>
      <c r="C91" s="11" t="s">
        <v>238</v>
      </c>
      <c r="D91" s="12" t="s">
        <v>239</v>
      </c>
      <c r="E91" s="11" t="s">
        <v>481</v>
      </c>
      <c r="F91" s="12" t="s">
        <v>364</v>
      </c>
      <c r="G91" s="13" t="s">
        <v>387</v>
      </c>
      <c r="H91" s="14">
        <f>IF(G91="","",VLOOKUP(G91,'Maturity Definitions'!$B$4:$D$8,3,FALSE))</f>
        <v>3</v>
      </c>
      <c r="I91" s="13"/>
      <c r="J91" s="12" t="s">
        <v>510</v>
      </c>
      <c r="K91" s="15">
        <f>IF(J91="","",VLOOKUP(J91,'Maturity Definitions'!$B$4:$D$8,3,FALSE))</f>
        <v>4</v>
      </c>
      <c r="L91" s="13"/>
    </row>
    <row r="92" spans="1:12" ht="96" x14ac:dyDescent="0.45">
      <c r="A92" s="11" t="s">
        <v>8</v>
      </c>
      <c r="B92" s="11" t="s">
        <v>26</v>
      </c>
      <c r="C92" s="11" t="s">
        <v>240</v>
      </c>
      <c r="D92" s="12" t="s">
        <v>241</v>
      </c>
      <c r="E92" s="11" t="s">
        <v>482</v>
      </c>
      <c r="F92" s="12" t="s">
        <v>365</v>
      </c>
      <c r="G92" s="13" t="s">
        <v>387</v>
      </c>
      <c r="H92" s="14">
        <f>IF(G92="","",VLOOKUP(G92,'Maturity Definitions'!$B$4:$D$8,3,FALSE))</f>
        <v>3</v>
      </c>
      <c r="I92" s="13"/>
      <c r="J92" s="12" t="s">
        <v>510</v>
      </c>
      <c r="K92" s="15">
        <f>IF(J92="","",VLOOKUP(J92,'Maturity Definitions'!$B$4:$D$8,3,FALSE))</f>
        <v>4</v>
      </c>
      <c r="L92" s="13"/>
    </row>
    <row r="93" spans="1:12" ht="112" x14ac:dyDescent="0.45">
      <c r="A93" s="11" t="s">
        <v>8</v>
      </c>
      <c r="B93" s="11" t="s">
        <v>27</v>
      </c>
      <c r="C93" s="11" t="s">
        <v>242</v>
      </c>
      <c r="D93" s="12" t="s">
        <v>243</v>
      </c>
      <c r="E93" s="11" t="s">
        <v>483</v>
      </c>
      <c r="F93" s="12" t="s">
        <v>366</v>
      </c>
      <c r="G93" s="13" t="s">
        <v>387</v>
      </c>
      <c r="H93" s="14">
        <f>IF(G93="","",VLOOKUP(G93,'Maturity Definitions'!$B$4:$D$8,3,FALSE))</f>
        <v>3</v>
      </c>
      <c r="I93" s="13"/>
      <c r="J93" s="12" t="s">
        <v>510</v>
      </c>
      <c r="K93" s="15">
        <f>IF(J93="","",VLOOKUP(J93,'Maturity Definitions'!$B$4:$D$8,3,FALSE))</f>
        <v>4</v>
      </c>
      <c r="L93" s="13"/>
    </row>
    <row r="94" spans="1:12" ht="96" x14ac:dyDescent="0.45">
      <c r="A94" s="11" t="s">
        <v>8</v>
      </c>
      <c r="B94" s="11" t="s">
        <v>27</v>
      </c>
      <c r="C94" s="11" t="s">
        <v>244</v>
      </c>
      <c r="D94" s="12" t="s">
        <v>245</v>
      </c>
      <c r="E94" s="11" t="s">
        <v>484</v>
      </c>
      <c r="F94" s="12" t="s">
        <v>367</v>
      </c>
      <c r="G94" s="13" t="s">
        <v>387</v>
      </c>
      <c r="H94" s="14">
        <f>IF(G94="","",VLOOKUP(G94,'Maturity Definitions'!$B$4:$D$8,3,FALSE))</f>
        <v>3</v>
      </c>
      <c r="I94" s="13"/>
      <c r="J94" s="12" t="s">
        <v>510</v>
      </c>
      <c r="K94" s="15">
        <f>IF(J94="","",VLOOKUP(J94,'Maturity Definitions'!$B$4:$D$8,3,FALSE))</f>
        <v>4</v>
      </c>
      <c r="L94" s="13"/>
    </row>
    <row r="95" spans="1:12" ht="80" x14ac:dyDescent="0.45">
      <c r="A95" s="11" t="s">
        <v>8</v>
      </c>
      <c r="B95" s="11" t="s">
        <v>27</v>
      </c>
      <c r="C95" s="11" t="s">
        <v>246</v>
      </c>
      <c r="D95" s="12" t="s">
        <v>247</v>
      </c>
      <c r="E95" s="11" t="s">
        <v>485</v>
      </c>
      <c r="F95" s="12" t="s">
        <v>368</v>
      </c>
      <c r="G95" s="13" t="s">
        <v>387</v>
      </c>
      <c r="H95" s="14">
        <f>IF(G95="","",VLOOKUP(G95,'Maturity Definitions'!$B$4:$D$8,3,FALSE))</f>
        <v>3</v>
      </c>
      <c r="I95" s="13"/>
      <c r="J95" s="12" t="s">
        <v>510</v>
      </c>
      <c r="K95" s="15">
        <f>IF(J95="","",VLOOKUP(J95,'Maturity Definitions'!$B$4:$D$8,3,FALSE))</f>
        <v>4</v>
      </c>
      <c r="L95" s="13"/>
    </row>
    <row r="96" spans="1:12" ht="96" x14ac:dyDescent="0.45">
      <c r="A96" s="11" t="s">
        <v>8</v>
      </c>
      <c r="B96" s="11" t="s">
        <v>27</v>
      </c>
      <c r="C96" s="11" t="s">
        <v>248</v>
      </c>
      <c r="D96" s="12" t="s">
        <v>249</v>
      </c>
      <c r="E96" s="11" t="s">
        <v>486</v>
      </c>
      <c r="F96" s="12" t="s">
        <v>369</v>
      </c>
      <c r="G96" s="13" t="s">
        <v>387</v>
      </c>
      <c r="H96" s="14">
        <f>IF(G96="","",VLOOKUP(G96,'Maturity Definitions'!$B$4:$D$8,3,FALSE))</f>
        <v>3</v>
      </c>
      <c r="I96" s="13"/>
      <c r="J96" s="12" t="s">
        <v>510</v>
      </c>
      <c r="K96" s="15">
        <f>IF(J96="","",VLOOKUP(J96,'Maturity Definitions'!$B$4:$D$8,3,FALSE))</f>
        <v>4</v>
      </c>
      <c r="L96" s="13"/>
    </row>
    <row r="97" spans="1:12" ht="256" x14ac:dyDescent="0.45">
      <c r="A97" s="11" t="s">
        <v>8</v>
      </c>
      <c r="B97" s="11" t="s">
        <v>28</v>
      </c>
      <c r="C97" s="11" t="s">
        <v>250</v>
      </c>
      <c r="D97" s="12" t="s">
        <v>251</v>
      </c>
      <c r="E97" s="11" t="s">
        <v>487</v>
      </c>
      <c r="F97" s="12" t="s">
        <v>370</v>
      </c>
      <c r="G97" s="13" t="s">
        <v>387</v>
      </c>
      <c r="H97" s="14">
        <f>IF(G97="","",VLOOKUP(G97,'Maturity Definitions'!$B$4:$D$8,3,FALSE))</f>
        <v>3</v>
      </c>
      <c r="I97" s="13"/>
      <c r="J97" s="12" t="s">
        <v>510</v>
      </c>
      <c r="K97" s="15">
        <f>IF(J97="","",VLOOKUP(J97,'Maturity Definitions'!$B$4:$D$8,3,FALSE))</f>
        <v>4</v>
      </c>
      <c r="L97" s="13"/>
    </row>
    <row r="98" spans="1:12" ht="240" x14ac:dyDescent="0.45">
      <c r="A98" s="11" t="s">
        <v>8</v>
      </c>
      <c r="B98" s="11" t="s">
        <v>28</v>
      </c>
      <c r="C98" s="11" t="s">
        <v>252</v>
      </c>
      <c r="D98" s="12" t="s">
        <v>253</v>
      </c>
      <c r="E98" s="11" t="s">
        <v>488</v>
      </c>
      <c r="F98" s="12" t="s">
        <v>371</v>
      </c>
      <c r="G98" s="13" t="s">
        <v>387</v>
      </c>
      <c r="H98" s="14">
        <f>IF(G98="","",VLOOKUP(G98,'Maturity Definitions'!$B$4:$D$8,3,FALSE))</f>
        <v>3</v>
      </c>
      <c r="I98" s="13"/>
      <c r="J98" s="12" t="s">
        <v>510</v>
      </c>
      <c r="K98" s="15">
        <f>IF(J98="","",VLOOKUP(J98,'Maturity Definitions'!$B$4:$D$8,3,FALSE))</f>
        <v>4</v>
      </c>
      <c r="L98" s="13"/>
    </row>
    <row r="99" spans="1:12" ht="176" x14ac:dyDescent="0.45">
      <c r="A99" s="11" t="s">
        <v>8</v>
      </c>
      <c r="B99" s="11" t="s">
        <v>29</v>
      </c>
      <c r="C99" s="11" t="s">
        <v>254</v>
      </c>
      <c r="D99" s="12" t="s">
        <v>255</v>
      </c>
      <c r="E99" s="11" t="s">
        <v>489</v>
      </c>
      <c r="F99" s="12" t="s">
        <v>372</v>
      </c>
      <c r="G99" s="13" t="s">
        <v>387</v>
      </c>
      <c r="H99" s="14">
        <f>IF(G99="","",VLOOKUP(G99,'Maturity Definitions'!$B$4:$D$8,3,FALSE))</f>
        <v>3</v>
      </c>
      <c r="I99" s="13"/>
      <c r="J99" s="12" t="s">
        <v>510</v>
      </c>
      <c r="K99" s="15">
        <f>IF(J99="","",VLOOKUP(J99,'Maturity Definitions'!$B$4:$D$8,3,FALSE))</f>
        <v>4</v>
      </c>
      <c r="L99" s="13"/>
    </row>
    <row r="100" spans="1:12" ht="128" x14ac:dyDescent="0.45">
      <c r="A100" s="11" t="s">
        <v>8</v>
      </c>
      <c r="B100" s="11" t="s">
        <v>29</v>
      </c>
      <c r="C100" s="11" t="s">
        <v>256</v>
      </c>
      <c r="D100" s="12" t="s">
        <v>257</v>
      </c>
      <c r="E100" s="11" t="s">
        <v>490</v>
      </c>
      <c r="F100" s="12" t="s">
        <v>373</v>
      </c>
      <c r="G100" s="13" t="s">
        <v>387</v>
      </c>
      <c r="H100" s="14">
        <f>IF(G100="","",VLOOKUP(G100,'Maturity Definitions'!$B$4:$D$8,3,FALSE))</f>
        <v>3</v>
      </c>
      <c r="I100" s="13"/>
      <c r="J100" s="12" t="s">
        <v>510</v>
      </c>
      <c r="K100" s="15">
        <f>IF(J100="","",VLOOKUP(J100,'Maturity Definitions'!$B$4:$D$8,3,FALSE))</f>
        <v>4</v>
      </c>
      <c r="L100" s="13"/>
    </row>
    <row r="101" spans="1:12" ht="128" x14ac:dyDescent="0.45">
      <c r="A101" s="11" t="s">
        <v>9</v>
      </c>
      <c r="B101" s="11" t="s">
        <v>30</v>
      </c>
      <c r="C101" s="11" t="s">
        <v>258</v>
      </c>
      <c r="D101" s="12" t="s">
        <v>259</v>
      </c>
      <c r="E101" s="11" t="s">
        <v>491</v>
      </c>
      <c r="F101" s="12" t="s">
        <v>374</v>
      </c>
      <c r="G101" s="13" t="s">
        <v>387</v>
      </c>
      <c r="H101" s="14">
        <f>IF(G101="","",VLOOKUP(G101,'Maturity Definitions'!$B$4:$D$8,3,FALSE))</f>
        <v>3</v>
      </c>
      <c r="I101" s="13"/>
      <c r="J101" s="12" t="s">
        <v>510</v>
      </c>
      <c r="K101" s="15">
        <f>IF(J101="","",VLOOKUP(J101,'Maturity Definitions'!$B$4:$D$8,3,FALSE))</f>
        <v>4</v>
      </c>
      <c r="L101" s="13"/>
    </row>
    <row r="102" spans="1:12" ht="128" x14ac:dyDescent="0.45">
      <c r="A102" s="11" t="s">
        <v>9</v>
      </c>
      <c r="B102" s="11" t="s">
        <v>30</v>
      </c>
      <c r="C102" s="11" t="s">
        <v>260</v>
      </c>
      <c r="D102" s="12" t="s">
        <v>261</v>
      </c>
      <c r="E102" s="11" t="s">
        <v>492</v>
      </c>
      <c r="F102" s="12" t="s">
        <v>375</v>
      </c>
      <c r="G102" s="13" t="s">
        <v>387</v>
      </c>
      <c r="H102" s="14">
        <f>IF(G102="","",VLOOKUP(G102,'Maturity Definitions'!$B$4:$D$8,3,FALSE))</f>
        <v>3</v>
      </c>
      <c r="I102" s="13"/>
      <c r="J102" s="12" t="s">
        <v>510</v>
      </c>
      <c r="K102" s="15">
        <f>IF(J102="","",VLOOKUP(J102,'Maturity Definitions'!$B$4:$D$8,3,FALSE))</f>
        <v>4</v>
      </c>
      <c r="L102" s="13"/>
    </row>
    <row r="103" spans="1:12" ht="112" x14ac:dyDescent="0.45">
      <c r="A103" s="11" t="s">
        <v>9</v>
      </c>
      <c r="B103" s="11" t="s">
        <v>30</v>
      </c>
      <c r="C103" s="11" t="s">
        <v>262</v>
      </c>
      <c r="D103" s="12" t="s">
        <v>263</v>
      </c>
      <c r="E103" s="11" t="s">
        <v>493</v>
      </c>
      <c r="F103" s="12" t="s">
        <v>376</v>
      </c>
      <c r="G103" s="13" t="s">
        <v>387</v>
      </c>
      <c r="H103" s="14">
        <f>IF(G103="","",VLOOKUP(G103,'Maturity Definitions'!$B$4:$D$8,3,FALSE))</f>
        <v>3</v>
      </c>
      <c r="I103" s="13"/>
      <c r="J103" s="12" t="s">
        <v>510</v>
      </c>
      <c r="K103" s="15">
        <f>IF(J103="","",VLOOKUP(J103,'Maturity Definitions'!$B$4:$D$8,3,FALSE))</f>
        <v>4</v>
      </c>
      <c r="L103" s="13"/>
    </row>
    <row r="104" spans="1:12" ht="112" x14ac:dyDescent="0.45">
      <c r="A104" s="11" t="s">
        <v>9</v>
      </c>
      <c r="B104" s="11" t="s">
        <v>30</v>
      </c>
      <c r="C104" s="11" t="s">
        <v>264</v>
      </c>
      <c r="D104" s="12" t="s">
        <v>265</v>
      </c>
      <c r="E104" s="11" t="s">
        <v>494</v>
      </c>
      <c r="F104" s="12" t="s">
        <v>377</v>
      </c>
      <c r="G104" s="13" t="s">
        <v>387</v>
      </c>
      <c r="H104" s="14">
        <f>IF(G104="","",VLOOKUP(G104,'Maturity Definitions'!$B$4:$D$8,3,FALSE))</f>
        <v>3</v>
      </c>
      <c r="I104" s="13"/>
      <c r="J104" s="12" t="s">
        <v>510</v>
      </c>
      <c r="K104" s="15">
        <f>IF(J104="","",VLOOKUP(J104,'Maturity Definitions'!$B$4:$D$8,3,FALSE))</f>
        <v>4</v>
      </c>
      <c r="L104" s="13"/>
    </row>
    <row r="105" spans="1:12" ht="64" x14ac:dyDescent="0.45">
      <c r="A105" s="11" t="s">
        <v>9</v>
      </c>
      <c r="B105" s="11" t="s">
        <v>30</v>
      </c>
      <c r="C105" s="11" t="s">
        <v>266</v>
      </c>
      <c r="D105" s="12" t="s">
        <v>267</v>
      </c>
      <c r="E105" s="11" t="s">
        <v>495</v>
      </c>
      <c r="F105" s="12" t="s">
        <v>378</v>
      </c>
      <c r="G105" s="13" t="s">
        <v>387</v>
      </c>
      <c r="H105" s="14">
        <f>IF(G105="","",VLOOKUP(G105,'Maturity Definitions'!$B$4:$D$8,3,FALSE))</f>
        <v>3</v>
      </c>
      <c r="I105" s="13"/>
      <c r="J105" s="12" t="s">
        <v>510</v>
      </c>
      <c r="K105" s="15">
        <f>IF(J105="","",VLOOKUP(J105,'Maturity Definitions'!$B$4:$D$8,3,FALSE))</f>
        <v>4</v>
      </c>
      <c r="L105" s="13"/>
    </row>
    <row r="106" spans="1:12" ht="64" x14ac:dyDescent="0.45">
      <c r="A106" s="11" t="s">
        <v>9</v>
      </c>
      <c r="B106" s="11" t="s">
        <v>30</v>
      </c>
      <c r="C106" s="11" t="s">
        <v>268</v>
      </c>
      <c r="D106" s="12" t="s">
        <v>269</v>
      </c>
      <c r="E106" s="11" t="s">
        <v>496</v>
      </c>
      <c r="F106" s="12" t="s">
        <v>379</v>
      </c>
      <c r="G106" s="13" t="s">
        <v>386</v>
      </c>
      <c r="H106" s="14">
        <f>IF(G106="","",VLOOKUP(G106,'Maturity Definitions'!$B$4:$D$8,3,FALSE))</f>
        <v>2</v>
      </c>
      <c r="I106" s="13"/>
      <c r="J106" s="12" t="s">
        <v>510</v>
      </c>
      <c r="K106" s="15">
        <f>IF(J106="","",VLOOKUP(J106,'Maturity Definitions'!$B$4:$D$8,3,FALSE))</f>
        <v>4</v>
      </c>
      <c r="L106" s="13"/>
    </row>
    <row r="107" spans="1:12" ht="128" x14ac:dyDescent="0.45">
      <c r="A107" s="11" t="s">
        <v>9</v>
      </c>
      <c r="B107" s="11" t="s">
        <v>31</v>
      </c>
      <c r="C107" s="11" t="s">
        <v>270</v>
      </c>
      <c r="D107" s="12" t="s">
        <v>271</v>
      </c>
      <c r="E107" s="11" t="s">
        <v>497</v>
      </c>
      <c r="F107" s="12" t="s">
        <v>380</v>
      </c>
      <c r="G107" s="13" t="s">
        <v>386</v>
      </c>
      <c r="H107" s="14">
        <f>IF(G107="","",VLOOKUP(G107,'Maturity Definitions'!$B$4:$D$8,3,FALSE))</f>
        <v>2</v>
      </c>
      <c r="I107" s="13"/>
      <c r="J107" s="12" t="s">
        <v>510</v>
      </c>
      <c r="K107" s="15">
        <f>IF(J107="","",VLOOKUP(J107,'Maturity Definitions'!$B$4:$D$8,3,FALSE))</f>
        <v>4</v>
      </c>
      <c r="L107" s="13"/>
    </row>
    <row r="108" spans="1:12" ht="144" x14ac:dyDescent="0.45">
      <c r="A108" s="11" t="s">
        <v>9</v>
      </c>
      <c r="B108" s="11" t="s">
        <v>31</v>
      </c>
      <c r="C108" s="11" t="s">
        <v>272</v>
      </c>
      <c r="D108" s="12" t="s">
        <v>273</v>
      </c>
      <c r="E108" s="11" t="s">
        <v>498</v>
      </c>
      <c r="F108" s="12" t="s">
        <v>381</v>
      </c>
      <c r="G108" s="13" t="s">
        <v>386</v>
      </c>
      <c r="H108" s="14">
        <f>IF(G108="","",VLOOKUP(G108,'Maturity Definitions'!$B$4:$D$8,3,FALSE))</f>
        <v>2</v>
      </c>
      <c r="I108" s="13"/>
      <c r="J108" s="12" t="s">
        <v>387</v>
      </c>
      <c r="K108" s="15">
        <f>IF(J108="","",VLOOKUP(J108,'Maturity Definitions'!$B$4:$D$8,3,FALSE))</f>
        <v>3</v>
      </c>
      <c r="L108" s="13"/>
    </row>
  </sheetData>
  <mergeCells count="1">
    <mergeCell ref="A1:XFD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9938D89-D5D3-44AC-A11A-EFB8F10F9B94}">
          <x14:formula1>
            <xm:f>'Maturity Definitions'!$B$4:$B$8</xm:f>
          </x14:formula1>
          <xm:sqref>J3:J108 G3:G108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F070-E845-425C-BAFC-F4912F544AF4}">
  <dimension ref="B1:D8"/>
  <sheetViews>
    <sheetView showGridLines="0" workbookViewId="0">
      <selection activeCell="H5" sqref="H5"/>
    </sheetView>
  </sheetViews>
  <sheetFormatPr defaultColWidth="9.1796875" defaultRowHeight="16" x14ac:dyDescent="0.35"/>
  <cols>
    <col min="1" max="1" width="9.1796875" style="16"/>
    <col min="2" max="2" width="19" style="16" customWidth="1"/>
    <col min="3" max="3" width="81" style="16" customWidth="1"/>
    <col min="4" max="16384" width="9.1796875" style="16"/>
  </cols>
  <sheetData>
    <row r="1" spans="2:4" ht="37.5" customHeight="1" x14ac:dyDescent="0.35">
      <c r="C1" s="22"/>
      <c r="D1" s="23"/>
    </row>
    <row r="2" spans="2:4" ht="57" customHeight="1" x14ac:dyDescent="0.35">
      <c r="C2" s="24"/>
    </row>
    <row r="3" spans="2:4" ht="30.75" customHeight="1" x14ac:dyDescent="0.35">
      <c r="B3" s="19" t="s">
        <v>382</v>
      </c>
      <c r="C3" s="19" t="s">
        <v>384</v>
      </c>
      <c r="D3" s="19" t="s">
        <v>383</v>
      </c>
    </row>
    <row r="4" spans="2:4" ht="60.75" customHeight="1" x14ac:dyDescent="0.35">
      <c r="B4" s="13" t="s">
        <v>385</v>
      </c>
      <c r="C4" s="12" t="s">
        <v>511</v>
      </c>
      <c r="D4" s="25">
        <v>1</v>
      </c>
    </row>
    <row r="5" spans="2:4" ht="60.75" customHeight="1" x14ac:dyDescent="0.35">
      <c r="B5" s="13" t="s">
        <v>386</v>
      </c>
      <c r="C5" s="12" t="s">
        <v>512</v>
      </c>
      <c r="D5" s="25">
        <v>2</v>
      </c>
    </row>
    <row r="6" spans="2:4" ht="60.75" customHeight="1" x14ac:dyDescent="0.35">
      <c r="B6" s="13" t="s">
        <v>387</v>
      </c>
      <c r="C6" s="12" t="s">
        <v>513</v>
      </c>
      <c r="D6" s="25">
        <v>3</v>
      </c>
    </row>
    <row r="7" spans="2:4" ht="60.75" customHeight="1" x14ac:dyDescent="0.35">
      <c r="B7" s="12" t="s">
        <v>510</v>
      </c>
      <c r="C7" s="12" t="s">
        <v>514</v>
      </c>
      <c r="D7" s="25">
        <v>4</v>
      </c>
    </row>
    <row r="8" spans="2:4" ht="60.75" customHeight="1" x14ac:dyDescent="0.35">
      <c r="B8" s="13" t="s">
        <v>388</v>
      </c>
      <c r="C8" s="12" t="s">
        <v>515</v>
      </c>
      <c r="D8" s="25">
        <v>5</v>
      </c>
    </row>
  </sheetData>
  <dataValidations disablePrompts="1" count="1">
    <dataValidation type="list" allowBlank="1" showInputMessage="1" showErrorMessage="1" sqref="D1" xr:uid="{F21E97C8-BB6F-4E4E-92EA-D300A20C467A}">
      <formula1>"5,4,3"</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45CAA-F909-457A-A182-B8A009ECDD48}">
  <dimension ref="B1:C7"/>
  <sheetViews>
    <sheetView showGridLines="0" workbookViewId="0">
      <selection activeCell="B1" sqref="B1"/>
    </sheetView>
  </sheetViews>
  <sheetFormatPr defaultColWidth="9.1796875" defaultRowHeight="14" x14ac:dyDescent="0.3"/>
  <cols>
    <col min="1" max="1" width="9.1796875" style="1"/>
    <col min="2" max="2" width="20.81640625" style="8" customWidth="1"/>
    <col min="3" max="3" width="98.453125" style="8" customWidth="1"/>
    <col min="4" max="16384" width="9.1796875" style="1"/>
  </cols>
  <sheetData>
    <row r="1" spans="2:3" ht="21.75" customHeight="1" x14ac:dyDescent="0.3">
      <c r="B1" s="19" t="s">
        <v>0</v>
      </c>
      <c r="C1" s="19" t="s">
        <v>55</v>
      </c>
    </row>
    <row r="2" spans="2:3" ht="42.75" customHeight="1" x14ac:dyDescent="0.3">
      <c r="B2" s="2" t="s">
        <v>4</v>
      </c>
      <c r="C2" s="9" t="s">
        <v>56</v>
      </c>
    </row>
    <row r="3" spans="2:3" ht="42.75" customHeight="1" x14ac:dyDescent="0.3">
      <c r="B3" s="3" t="s">
        <v>5</v>
      </c>
      <c r="C3" s="9" t="s">
        <v>57</v>
      </c>
    </row>
    <row r="4" spans="2:3" ht="42.75" customHeight="1" x14ac:dyDescent="0.3">
      <c r="B4" s="4" t="s">
        <v>6</v>
      </c>
      <c r="C4" s="9" t="s">
        <v>58</v>
      </c>
    </row>
    <row r="5" spans="2:3" ht="42.75" customHeight="1" x14ac:dyDescent="0.3">
      <c r="B5" s="5" t="s">
        <v>7</v>
      </c>
      <c r="C5" s="9" t="s">
        <v>59</v>
      </c>
    </row>
    <row r="6" spans="2:3" ht="42.75" customHeight="1" x14ac:dyDescent="0.3">
      <c r="B6" s="6" t="s">
        <v>8</v>
      </c>
      <c r="C6" s="9" t="s">
        <v>60</v>
      </c>
    </row>
    <row r="7" spans="2:3" ht="42.75" customHeight="1" x14ac:dyDescent="0.3">
      <c r="B7" s="7" t="s">
        <v>9</v>
      </c>
      <c r="C7" s="9" t="s">
        <v>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A76E1-8636-4E7D-AB4A-F713EFC25982}">
  <dimension ref="B1:C107"/>
  <sheetViews>
    <sheetView showGridLines="0" workbookViewId="0">
      <pane ySplit="1" topLeftCell="A2" activePane="bottomLeft" state="frozen"/>
      <selection pane="bottomLeft" activeCell="B3" sqref="B3"/>
    </sheetView>
  </sheetViews>
  <sheetFormatPr defaultColWidth="9.1796875" defaultRowHeight="16.5" x14ac:dyDescent="0.45"/>
  <cols>
    <col min="1" max="1" width="9.1796875" style="26"/>
    <col min="2" max="2" width="40.81640625" style="28" customWidth="1"/>
    <col min="3" max="3" width="153.81640625" style="29" customWidth="1"/>
    <col min="4" max="16384" width="9.1796875" style="26"/>
  </cols>
  <sheetData>
    <row r="1" spans="2:3" ht="34.5" customHeight="1" x14ac:dyDescent="0.45">
      <c r="B1" s="19" t="s">
        <v>1</v>
      </c>
      <c r="C1" s="19" t="s">
        <v>54</v>
      </c>
    </row>
    <row r="2" spans="2:3" ht="38.25" customHeight="1" x14ac:dyDescent="0.45">
      <c r="B2" s="27" t="s">
        <v>10</v>
      </c>
      <c r="C2" s="12" t="s">
        <v>32</v>
      </c>
    </row>
    <row r="3" spans="2:3" ht="38.25" customHeight="1" x14ac:dyDescent="0.45">
      <c r="B3" s="27" t="s">
        <v>11</v>
      </c>
      <c r="C3" s="12" t="s">
        <v>33</v>
      </c>
    </row>
    <row r="4" spans="2:3" ht="38.25" customHeight="1" x14ac:dyDescent="0.45">
      <c r="B4" s="27" t="s">
        <v>12</v>
      </c>
      <c r="C4" s="12" t="s">
        <v>34</v>
      </c>
    </row>
    <row r="5" spans="2:3" ht="38.25" customHeight="1" x14ac:dyDescent="0.45">
      <c r="B5" s="27" t="s">
        <v>13</v>
      </c>
      <c r="C5" s="12" t="s">
        <v>35</v>
      </c>
    </row>
    <row r="6" spans="2:3" ht="38.25" customHeight="1" x14ac:dyDescent="0.45">
      <c r="B6" s="27" t="s">
        <v>14</v>
      </c>
      <c r="C6" s="12" t="s">
        <v>36</v>
      </c>
    </row>
    <row r="7" spans="2:3" ht="38.25" customHeight="1" x14ac:dyDescent="0.45">
      <c r="B7" s="27" t="s">
        <v>15</v>
      </c>
      <c r="C7" s="12" t="s">
        <v>37</v>
      </c>
    </row>
    <row r="8" spans="2:3" ht="38.25" customHeight="1" x14ac:dyDescent="0.45">
      <c r="B8" s="27" t="s">
        <v>16</v>
      </c>
      <c r="C8" s="12" t="s">
        <v>38</v>
      </c>
    </row>
    <row r="9" spans="2:3" ht="38.25" customHeight="1" x14ac:dyDescent="0.45">
      <c r="B9" s="27" t="s">
        <v>17</v>
      </c>
      <c r="C9" s="12" t="s">
        <v>39</v>
      </c>
    </row>
    <row r="10" spans="2:3" ht="38.25" customHeight="1" x14ac:dyDescent="0.45">
      <c r="B10" s="27" t="s">
        <v>18</v>
      </c>
      <c r="C10" s="12" t="s">
        <v>40</v>
      </c>
    </row>
    <row r="11" spans="2:3" ht="38.25" customHeight="1" x14ac:dyDescent="0.45">
      <c r="B11" s="27" t="s">
        <v>19</v>
      </c>
      <c r="C11" s="12" t="s">
        <v>41</v>
      </c>
    </row>
    <row r="12" spans="2:3" ht="38.25" customHeight="1" x14ac:dyDescent="0.45">
      <c r="B12" s="27" t="s">
        <v>20</v>
      </c>
      <c r="C12" s="12" t="s">
        <v>42</v>
      </c>
    </row>
    <row r="13" spans="2:3" ht="38.25" customHeight="1" x14ac:dyDescent="0.45">
      <c r="B13" s="27" t="s">
        <v>21</v>
      </c>
      <c r="C13" s="12" t="s">
        <v>43</v>
      </c>
    </row>
    <row r="14" spans="2:3" ht="38.25" customHeight="1" x14ac:dyDescent="0.45">
      <c r="B14" s="27" t="s">
        <v>22</v>
      </c>
      <c r="C14" s="12" t="s">
        <v>44</v>
      </c>
    </row>
    <row r="15" spans="2:3" ht="38.25" customHeight="1" x14ac:dyDescent="0.45">
      <c r="B15" s="27" t="s">
        <v>23</v>
      </c>
      <c r="C15" s="12" t="s">
        <v>45</v>
      </c>
    </row>
    <row r="16" spans="2:3" ht="38.25" customHeight="1" x14ac:dyDescent="0.45">
      <c r="B16" s="27" t="s">
        <v>24</v>
      </c>
      <c r="C16" s="12" t="s">
        <v>46</v>
      </c>
    </row>
    <row r="17" spans="2:3" ht="38.25" customHeight="1" x14ac:dyDescent="0.45">
      <c r="B17" s="27" t="s">
        <v>25</v>
      </c>
      <c r="C17" s="12" t="s">
        <v>47</v>
      </c>
    </row>
    <row r="18" spans="2:3" ht="38.25" customHeight="1" x14ac:dyDescent="0.45">
      <c r="B18" s="27" t="s">
        <v>26</v>
      </c>
      <c r="C18" s="12" t="s">
        <v>48</v>
      </c>
    </row>
    <row r="19" spans="2:3" ht="38.25" customHeight="1" x14ac:dyDescent="0.45">
      <c r="B19" s="27" t="s">
        <v>27</v>
      </c>
      <c r="C19" s="12" t="s">
        <v>49</v>
      </c>
    </row>
    <row r="20" spans="2:3" ht="38.25" customHeight="1" x14ac:dyDescent="0.45">
      <c r="B20" s="27" t="s">
        <v>28</v>
      </c>
      <c r="C20" s="12" t="s">
        <v>50</v>
      </c>
    </row>
    <row r="21" spans="2:3" ht="38.25" customHeight="1" x14ac:dyDescent="0.45">
      <c r="B21" s="27" t="s">
        <v>29</v>
      </c>
      <c r="C21" s="12" t="s">
        <v>51</v>
      </c>
    </row>
    <row r="22" spans="2:3" ht="38.25" customHeight="1" x14ac:dyDescent="0.45">
      <c r="B22" s="27" t="s">
        <v>30</v>
      </c>
      <c r="C22" s="12" t="s">
        <v>52</v>
      </c>
    </row>
    <row r="23" spans="2:3" ht="38.25" customHeight="1" x14ac:dyDescent="0.45">
      <c r="B23" s="27" t="s">
        <v>31</v>
      </c>
      <c r="C23" s="12" t="s">
        <v>53</v>
      </c>
    </row>
    <row r="24" spans="2:3" x14ac:dyDescent="0.45">
      <c r="B24" s="26"/>
      <c r="C24" s="26"/>
    </row>
    <row r="25" spans="2:3" x14ac:dyDescent="0.45">
      <c r="B25" s="26"/>
      <c r="C25" s="26"/>
    </row>
    <row r="26" spans="2:3" x14ac:dyDescent="0.45">
      <c r="B26" s="26"/>
      <c r="C26" s="26"/>
    </row>
    <row r="27" spans="2:3" x14ac:dyDescent="0.45">
      <c r="B27" s="26"/>
      <c r="C27" s="26"/>
    </row>
    <row r="28" spans="2:3" x14ac:dyDescent="0.45">
      <c r="B28" s="26"/>
      <c r="C28" s="26"/>
    </row>
    <row r="29" spans="2:3" x14ac:dyDescent="0.45">
      <c r="B29" s="26"/>
      <c r="C29" s="26"/>
    </row>
    <row r="30" spans="2:3" x14ac:dyDescent="0.45">
      <c r="B30" s="26"/>
      <c r="C30" s="26"/>
    </row>
    <row r="31" spans="2:3" x14ac:dyDescent="0.45">
      <c r="B31" s="26"/>
      <c r="C31" s="26"/>
    </row>
    <row r="32" spans="2:3" x14ac:dyDescent="0.45">
      <c r="B32" s="26"/>
      <c r="C32" s="26"/>
    </row>
    <row r="33" s="26" customFormat="1" x14ac:dyDescent="0.45"/>
    <row r="34" s="26" customFormat="1" x14ac:dyDescent="0.45"/>
    <row r="35" s="26" customFormat="1" x14ac:dyDescent="0.45"/>
    <row r="36" s="26" customFormat="1" x14ac:dyDescent="0.45"/>
    <row r="37" s="26" customFormat="1" x14ac:dyDescent="0.45"/>
    <row r="38" s="26" customFormat="1" x14ac:dyDescent="0.45"/>
    <row r="39" s="26" customFormat="1" x14ac:dyDescent="0.45"/>
    <row r="40" s="26" customFormat="1" x14ac:dyDescent="0.45"/>
    <row r="41" s="26" customFormat="1" x14ac:dyDescent="0.45"/>
    <row r="42" s="26" customFormat="1" x14ac:dyDescent="0.45"/>
    <row r="43" s="26" customFormat="1" x14ac:dyDescent="0.45"/>
    <row r="44" s="26" customFormat="1" x14ac:dyDescent="0.45"/>
    <row r="45" s="26" customFormat="1" x14ac:dyDescent="0.45"/>
    <row r="46" s="26" customFormat="1" x14ac:dyDescent="0.45"/>
    <row r="47" s="26" customFormat="1" x14ac:dyDescent="0.45"/>
    <row r="48" s="26" customFormat="1" x14ac:dyDescent="0.45"/>
    <row r="49" s="26" customFormat="1" x14ac:dyDescent="0.45"/>
    <row r="50" s="26" customFormat="1" x14ac:dyDescent="0.45"/>
    <row r="51" s="26" customFormat="1" x14ac:dyDescent="0.45"/>
    <row r="52" s="26" customFormat="1" x14ac:dyDescent="0.45"/>
    <row r="53" s="26" customFormat="1" x14ac:dyDescent="0.45"/>
    <row r="54" s="26" customFormat="1" x14ac:dyDescent="0.45"/>
    <row r="55" s="26" customFormat="1" x14ac:dyDescent="0.45"/>
    <row r="56" s="26" customFormat="1" x14ac:dyDescent="0.45"/>
    <row r="57" s="26" customFormat="1" x14ac:dyDescent="0.45"/>
    <row r="58" s="26" customFormat="1" x14ac:dyDescent="0.45"/>
    <row r="59" s="26" customFormat="1" x14ac:dyDescent="0.45"/>
    <row r="60" s="26" customFormat="1" x14ac:dyDescent="0.45"/>
    <row r="61" s="26" customFormat="1" x14ac:dyDescent="0.45"/>
    <row r="62" s="26" customFormat="1" x14ac:dyDescent="0.45"/>
    <row r="63" s="26" customFormat="1" x14ac:dyDescent="0.45"/>
    <row r="64" s="26" customFormat="1" x14ac:dyDescent="0.45"/>
    <row r="65" s="26" customFormat="1" x14ac:dyDescent="0.45"/>
    <row r="66" s="26" customFormat="1" x14ac:dyDescent="0.45"/>
    <row r="67" s="26" customFormat="1" x14ac:dyDescent="0.45"/>
    <row r="68" s="26" customFormat="1" x14ac:dyDescent="0.45"/>
    <row r="69" s="26" customFormat="1" x14ac:dyDescent="0.45"/>
    <row r="70" s="26" customFormat="1" x14ac:dyDescent="0.45"/>
    <row r="71" s="26" customFormat="1" x14ac:dyDescent="0.45"/>
    <row r="72" s="26" customFormat="1" x14ac:dyDescent="0.45"/>
    <row r="73" s="26" customFormat="1" x14ac:dyDescent="0.45"/>
    <row r="74" s="26" customFormat="1" x14ac:dyDescent="0.45"/>
    <row r="75" s="26" customFormat="1" x14ac:dyDescent="0.45"/>
    <row r="76" s="26" customFormat="1" x14ac:dyDescent="0.45"/>
    <row r="77" s="26" customFormat="1" x14ac:dyDescent="0.45"/>
    <row r="78" s="26" customFormat="1" x14ac:dyDescent="0.45"/>
    <row r="79" s="26" customFormat="1" x14ac:dyDescent="0.45"/>
    <row r="80" s="26" customFormat="1" x14ac:dyDescent="0.45"/>
    <row r="81" s="26" customFormat="1" x14ac:dyDescent="0.45"/>
    <row r="82" s="26" customFormat="1" x14ac:dyDescent="0.45"/>
    <row r="83" s="26" customFormat="1" x14ac:dyDescent="0.45"/>
    <row r="84" s="26" customFormat="1" x14ac:dyDescent="0.45"/>
    <row r="85" s="26" customFormat="1" x14ac:dyDescent="0.45"/>
    <row r="86" s="26" customFormat="1" x14ac:dyDescent="0.45"/>
    <row r="87" s="26" customFormat="1" x14ac:dyDescent="0.45"/>
    <row r="88" s="26" customFormat="1" x14ac:dyDescent="0.45"/>
    <row r="89" s="26" customFormat="1" x14ac:dyDescent="0.45"/>
    <row r="90" s="26" customFormat="1" x14ac:dyDescent="0.45"/>
    <row r="91" s="26" customFormat="1" x14ac:dyDescent="0.45"/>
    <row r="92" s="26" customFormat="1" x14ac:dyDescent="0.45"/>
    <row r="93" s="26" customFormat="1" x14ac:dyDescent="0.45"/>
    <row r="94" s="26" customFormat="1" x14ac:dyDescent="0.45"/>
    <row r="95" s="26" customFormat="1" x14ac:dyDescent="0.45"/>
    <row r="96" s="26" customFormat="1" x14ac:dyDescent="0.45"/>
    <row r="97" s="26" customFormat="1" x14ac:dyDescent="0.45"/>
    <row r="98" s="26" customFormat="1" x14ac:dyDescent="0.45"/>
    <row r="99" s="26" customFormat="1" x14ac:dyDescent="0.45"/>
    <row r="100" s="26" customFormat="1" x14ac:dyDescent="0.45"/>
    <row r="101" s="26" customFormat="1" x14ac:dyDescent="0.45"/>
    <row r="102" s="26" customFormat="1" x14ac:dyDescent="0.45"/>
    <row r="103" s="26" customFormat="1" x14ac:dyDescent="0.45"/>
    <row r="104" s="26" customFormat="1" x14ac:dyDescent="0.45"/>
    <row r="105" s="26" customFormat="1" x14ac:dyDescent="0.45"/>
    <row r="106" s="26" customFormat="1" x14ac:dyDescent="0.45"/>
    <row r="107" s="26" customFormat="1"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Pivots</vt:lpstr>
      <vt:lpstr>Requirements</vt:lpstr>
      <vt:lpstr>Maturity Definitions</vt:lpstr>
      <vt:lpstr>Functions</vt:lpstr>
      <vt:lpstr>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allaboutgrc.com</dc:creator>
  <cp:lastModifiedBy>Himanshu Dwivedi</cp:lastModifiedBy>
  <dcterms:created xsi:type="dcterms:W3CDTF">2024-09-22T19:56:58Z</dcterms:created>
  <dcterms:modified xsi:type="dcterms:W3CDTF">2026-08-13T13:00:18Z</dcterms:modified>
</cp:coreProperties>
</file>